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29DA02EA-70F7-4D42-8251-F64F77F6AEE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rojectSchedule" sheetId="11" r:id="rId1"/>
    <sheet name="About" sheetId="12" r:id="rId2"/>
  </sheets>
  <definedNames>
    <definedName name="_xlnm.Print_Area" localSheetId="0">ProjectSchedule!$1:$43</definedName>
    <definedName name="_xlnm.Print_Titles" localSheetId="0">ProjectSchedule!$4:$6</definedName>
    <definedName name="task_end" localSheetId="0">ProjectSchedule!$F1</definedName>
    <definedName name="task_progress" localSheetId="0">ProjectSchedule!$D1</definedName>
    <definedName name="task_start" localSheetId="0">ProjectSchedule!$E1</definedName>
    <definedName name="today" localSheetId="0">ProjectSchedule!$E$3</definedName>
    <definedName name="valuevx">42.314159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1" l="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I6" i="11" l="1"/>
  <c r="J5" i="11" l="1"/>
  <c r="K5" i="11" s="1"/>
  <c r="L5" i="11" s="1"/>
  <c r="M5" i="11" s="1"/>
  <c r="N5" i="11" s="1"/>
  <c r="O5" i="11" s="1"/>
  <c r="P5" i="11" s="1"/>
  <c r="I4" i="11"/>
  <c r="P4" i="11" l="1"/>
  <c r="Q5" i="11"/>
  <c r="R5" i="11" s="1"/>
  <c r="S5" i="11" s="1"/>
  <c r="T5" i="11" s="1"/>
  <c r="U5" i="11" s="1"/>
  <c r="V5" i="11" s="1"/>
  <c r="W5" i="11" s="1"/>
  <c r="J6" i="11"/>
  <c r="W4" i="11" l="1"/>
  <c r="X5" i="11"/>
  <c r="Y5" i="11" s="1"/>
  <c r="Z5" i="11" s="1"/>
  <c r="AA5" i="11" s="1"/>
  <c r="AB5" i="11" s="1"/>
  <c r="AC5" i="11" s="1"/>
  <c r="AD5" i="11" s="1"/>
  <c r="K6" i="11"/>
  <c r="AE5" i="11" l="1"/>
  <c r="AF5" i="11" s="1"/>
  <c r="AG5" i="11" s="1"/>
  <c r="AH5" i="11" s="1"/>
  <c r="AI5" i="11" s="1"/>
  <c r="AJ5" i="11" s="1"/>
  <c r="AD4" i="11"/>
  <c r="L6" i="11"/>
  <c r="AK5" i="11" l="1"/>
  <c r="AL5" i="11" s="1"/>
  <c r="AM5" i="11" s="1"/>
  <c r="AN5" i="11" s="1"/>
  <c r="AO5" i="11" s="1"/>
  <c r="AP5" i="11" s="1"/>
  <c r="AQ5" i="11" s="1"/>
  <c r="M6" i="11"/>
  <c r="AR5" i="11" l="1"/>
  <c r="AS5" i="11" s="1"/>
  <c r="AK4" i="11"/>
  <c r="N6" i="11"/>
  <c r="AT5" i="11" l="1"/>
  <c r="AS6" i="11"/>
  <c r="AR4" i="11"/>
  <c r="O6" i="11"/>
  <c r="AU5" i="11" l="1"/>
  <c r="AT6" i="11"/>
  <c r="AV5" i="11" l="1"/>
  <c r="AU6" i="11"/>
  <c r="P6" i="11"/>
  <c r="Q6" i="11"/>
  <c r="AW5" i="11" l="1"/>
  <c r="AV6" i="11"/>
  <c r="R6" i="11"/>
  <c r="AX5" i="11" l="1"/>
  <c r="AY5" i="11" s="1"/>
  <c r="AW6" i="11"/>
  <c r="S6" i="11"/>
  <c r="AY6" i="11" l="1"/>
  <c r="AZ5" i="11"/>
  <c r="AY4" i="11"/>
  <c r="AX6" i="11"/>
  <c r="T6" i="11"/>
  <c r="BA5" i="11" l="1"/>
  <c r="AZ6" i="11"/>
  <c r="U6" i="11"/>
  <c r="BA6" i="11" l="1"/>
  <c r="BB5" i="11"/>
  <c r="V6" i="11"/>
  <c r="BB6" i="11" l="1"/>
  <c r="BC5" i="11"/>
  <c r="W6" i="11"/>
  <c r="BC6" i="11" l="1"/>
  <c r="BD5" i="11"/>
  <c r="X6" i="11"/>
  <c r="BE5" i="11" l="1"/>
  <c r="BD6" i="11"/>
  <c r="Y6" i="11"/>
  <c r="BE6" i="11" l="1"/>
  <c r="BF5" i="11"/>
  <c r="Z6" i="11"/>
  <c r="BF6" i="11" l="1"/>
  <c r="BG5" i="11"/>
  <c r="BF4" i="11"/>
  <c r="AA6" i="11"/>
  <c r="BG6" i="11" l="1"/>
  <c r="BH5" i="11"/>
  <c r="AB6" i="11"/>
  <c r="BI5" i="11" l="1"/>
  <c r="BH6" i="11"/>
  <c r="AC6" i="11"/>
  <c r="BJ5" i="11" l="1"/>
  <c r="BI6" i="11"/>
  <c r="AD6" i="11"/>
  <c r="BK5" i="11" l="1"/>
  <c r="BJ6" i="11"/>
  <c r="AE6" i="11"/>
  <c r="BL5" i="11" l="1"/>
  <c r="BK6" i="11"/>
  <c r="AF6" i="11"/>
  <c r="BL6" i="11" l="1"/>
  <c r="AG6" i="11"/>
  <c r="AH6" i="11" l="1"/>
  <c r="AI6" i="11" l="1"/>
  <c r="AJ6" i="11" l="1"/>
  <c r="AK6" i="11" l="1"/>
  <c r="AL6" i="11" l="1"/>
  <c r="AM6" i="11" l="1"/>
  <c r="AN6" i="11" l="1"/>
  <c r="AO6" i="11" l="1"/>
  <c r="AP6" i="11" l="1"/>
  <c r="AQ6" i="11" l="1"/>
  <c r="AR6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Vertex42.com Templates</author>
  </authors>
  <commentList>
    <comment ref="H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DAYS:</t>
        </r>
        <r>
          <rPr>
            <sz val="9"/>
            <color indexed="81"/>
            <rFont val="Tahoma"/>
            <family val="2"/>
          </rPr>
          <t xml:space="preserve">
This column calculates the duration of the task in calendar days. The duration includes both the Start and End dates.</t>
        </r>
      </text>
    </comment>
  </commentList>
</comments>
</file>

<file path=xl/sharedStrings.xml><?xml version="1.0" encoding="utf-8"?>
<sst xmlns="http://schemas.openxmlformats.org/spreadsheetml/2006/main" count="86" uniqueCount="62">
  <si>
    <t>Project Start:</t>
  </si>
  <si>
    <t>PROGRESS</t>
  </si>
  <si>
    <t>ASSIGNED
TO</t>
  </si>
  <si>
    <t>DAYS</t>
  </si>
  <si>
    <t>TASK</t>
  </si>
  <si>
    <t>RiskTrace — Project Schedule</t>
  </si>
  <si>
    <t>PHASE 1 — GROUP FORMATION AND PROJECT IDEATION</t>
  </si>
  <si>
    <t>Brainstorm project ideas and identify possible problem areas</t>
  </si>
  <si>
    <t>Abhishek Batra, Shaurya Sangwan, Sushain Sharma</t>
  </si>
  <si>
    <t>Finalize the RiskTrace project concept and project scope</t>
  </si>
  <si>
    <t>Prepare and practice the project pitch</t>
  </si>
  <si>
    <t>PHASE 2 — ELEVATOR PITCH</t>
  </si>
  <si>
    <t>Design and create the elevator pitch presentation</t>
  </si>
  <si>
    <t>Shaurya Sangwan</t>
  </si>
  <si>
    <t>Prepare pitch content and presentation material</t>
  </si>
  <si>
    <t>Present the RiskTrace elevator pitch in class</t>
  </si>
  <si>
    <t>PHASE 3 — DATASET, PROPOSAL AND REPOSITORY SETUP</t>
  </si>
  <si>
    <t>Research and find a suitable vulnerability dataset</t>
  </si>
  <si>
    <t>Curate and organize the vulnerability dataset</t>
  </si>
  <si>
    <t>Research background information and related work</t>
  </si>
  <si>
    <t>Abhishek Batra, Sushain Sharma</t>
  </si>
  <si>
    <t>Gather raw content for the project proposal</t>
  </si>
  <si>
    <t>Structure and organize the project proposal</t>
  </si>
  <si>
    <t>Set up the GitHub repository and initial project structure</t>
  </si>
  <si>
    <t>PHASE 4 — PROPOSAL REVISIONS AND SYSTEM ARCHITECTURE</t>
  </si>
  <si>
    <t>Incorporate teacher feedback into the project proposal</t>
  </si>
  <si>
    <t>Shaurya Sangwan, Sushain Sharma</t>
  </si>
  <si>
    <t>Convert and prepare the proposal in LaTeX</t>
  </si>
  <si>
    <t>Sushain Sharma</t>
  </si>
  <si>
    <t>Finalize overall system architecture</t>
  </si>
  <si>
    <t>Abhishek Batra, Shaurya Sangwan</t>
  </si>
  <si>
    <t>Design backend service architecture and data flow</t>
  </si>
  <si>
    <t>Define frontend structure and technology stack</t>
  </si>
  <si>
    <t>Create Use Case Diagram</t>
  </si>
  <si>
    <t>Create Level 0 Data Flow Diagram</t>
  </si>
  <si>
    <t>Create Level 1 Data Flow Diagram</t>
  </si>
  <si>
    <t>Create Level 2 Data Flow Diagram</t>
  </si>
  <si>
    <t>Abhishek Batra</t>
  </si>
  <si>
    <t>PHASE 6 — IMPLEMENTATION AND DOCUMENTATION</t>
  </si>
  <si>
    <t>Build initial full-stack MVP</t>
  </si>
  <si>
    <t>Implement the project Gantt chart and milestone tracking</t>
  </si>
  <si>
    <t>RiskTrace</t>
  </si>
  <si>
    <t>University Software Engineering Project</t>
  </si>
  <si>
    <t>Project Overview</t>
  </si>
  <si>
    <t>RiskTrace is a supply chain risk analysis tool for open-source software dependencies. It analyzes dependencies, performs vulnerability matching, calculates risk scores, and provides results through a frontend dashboard.</t>
  </si>
  <si>
    <t>Team Members</t>
  </si>
  <si>
    <t>Abhishek Batra — 1024030463
Shaurya Sangwan — 1024030462
Sushain Sharma — 1024030439</t>
  </si>
  <si>
    <t>Project Start: August 3, 2026</t>
  </si>
  <si>
    <t>START DATE</t>
  </si>
  <si>
    <t>END DATE</t>
  </si>
  <si>
    <t>Supply chain risk analysis for open-source software dependencies</t>
  </si>
  <si>
    <t>Status Date:</t>
  </si>
  <si>
    <t>Abhishek Batra
Roll No: 1024030463
Shaurya Sangwan
Roll No: 1024030462
Sushain Sharma
Roll No: 1024030439</t>
  </si>
  <si>
    <t>PHASE 5 — UML, SYSTEM DESIGN AND INITIAL IMPLEMENTATION</t>
  </si>
  <si>
    <t>Start code implementation</t>
  </si>
  <si>
    <t>Initialize GitHub Pages</t>
  </si>
  <si>
    <t>Create Activity Diagram</t>
  </si>
  <si>
    <t>Create ER Diagram</t>
  </si>
  <si>
    <t>Create prototype presentation (PPT)</t>
  </si>
  <si>
    <t>Prepare project report</t>
  </si>
  <si>
    <t>Restructure repository structure</t>
  </si>
  <si>
    <t>Update GitHub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</si>
</sst>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d\,\ m/d/yyyy"/>
    <numFmt numFmtId="165" formatCode="mmm\ d\,\ yyyy"/>
    <numFmt numFmtId="166" formatCode="d"/>
  </numFmts>
  <fonts count="31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20"/>
      <name val="Calibri"/>
      <family val="2"/>
      <scheme val="major"/>
    </font>
    <font>
      <u/>
      <sz val="9"/>
      <color theme="4" tint="-0.249977111117893"/>
      <name val="Arial"/>
      <family val="2"/>
    </font>
    <font>
      <sz val="10"/>
      <color theme="1"/>
      <name val="Calibri"/>
      <family val="2"/>
      <scheme val="minor"/>
    </font>
    <font>
      <b/>
      <sz val="10"/>
      <color rgb="FF222222"/>
      <name val="Calibri"/>
      <scheme val="minor"/>
    </font>
    <font>
      <sz val="10"/>
      <color rgb="FF222222"/>
      <name val="Calibri"/>
      <scheme val="minor"/>
    </font>
    <font>
      <sz val="11"/>
      <color rgb="FF222222"/>
      <name val="Calibri"/>
      <scheme val="minor"/>
    </font>
    <font>
      <b/>
      <sz val="10"/>
      <color rgb="FFFFFFFF"/>
      <name val="Calibri"/>
      <scheme val="minor"/>
    </font>
    <font>
      <b/>
      <sz val="18"/>
      <color rgb="FF44546A"/>
      <name val="Calibri"/>
      <scheme val="minor"/>
    </font>
    <font>
      <i/>
      <sz val="11"/>
      <color rgb="FF666666"/>
      <name val="Calibri"/>
      <scheme val="minor"/>
    </font>
    <font>
      <b/>
      <sz val="11"/>
      <color rgb="FFFFFFFF"/>
      <name val="Calibri"/>
      <scheme val="minor"/>
    </font>
    <font>
      <b/>
      <sz val="11"/>
      <color rgb="FF44546A"/>
      <name val="Calibri"/>
      <scheme val="minor"/>
    </font>
    <font>
      <b/>
      <sz val="17"/>
      <color theme="1" tint="0.34998626667073579"/>
      <name val="Calibri"/>
      <family val="2"/>
      <scheme val="major"/>
    </font>
    <font>
      <sz val="9"/>
      <color rgb="FFFFFFFF"/>
      <name val="Arial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D9E2F3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  <border>
      <left/>
      <right/>
      <top style="medium">
        <color theme="0" tint="-0.14996795556505021"/>
      </top>
      <bottom style="thin">
        <color rgb="FFD9D9D9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thin">
        <color rgb="FFD9D9D9"/>
      </bottom>
      <diagonal/>
    </border>
    <border>
      <left style="thin">
        <color theme="0" tint="-0.1499374370555742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3743705557422"/>
      </left>
      <right/>
      <top style="medium">
        <color theme="0" tint="-0.14996795556505021"/>
      </top>
      <bottom style="thin">
        <color rgb="FFD9D9D9"/>
      </bottom>
      <diagonal/>
    </border>
    <border>
      <left/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thin">
        <color theme="0" tint="-0.14993743705557422"/>
      </right>
      <top style="medium">
        <color theme="0" tint="-0.14996795556505021"/>
      </top>
      <bottom style="thin">
        <color rgb="FFD9D9D9"/>
      </bottom>
      <diagonal/>
    </border>
    <border>
      <left/>
      <right style="thin">
        <color theme="0" tint="-0.14993743705557422"/>
      </right>
      <top style="medium">
        <color theme="0" tint="-0.14996795556505021"/>
      </top>
      <bottom style="medium">
        <color rgb="FF44546A"/>
      </bottom>
      <diagonal/>
    </border>
    <border>
      <left/>
      <right/>
      <top style="medium">
        <color theme="0" tint="-0.14996795556505021"/>
      </top>
      <bottom style="medium">
        <color rgb="FF44546A"/>
      </bottom>
      <diagonal/>
    </border>
    <border>
      <left/>
      <right/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rgb="FF44546A"/>
      </bottom>
      <diagonal/>
    </border>
    <border>
      <left style="thin">
        <color theme="0" tint="-0.14993743705557422"/>
      </left>
      <right/>
      <top style="medium">
        <color theme="0" tint="-0.14996795556505021"/>
      </top>
      <bottom style="medium">
        <color rgb="FF44546A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/>
      <top/>
      <bottom style="medium">
        <color theme="0" tint="-0.14996795556505021"/>
      </bottom>
      <diagonal/>
    </border>
    <border>
      <left/>
      <right style="thin">
        <color theme="0" tint="-0.14993743705557422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/>
      <top style="medium">
        <color theme="0" tint="-0.14996795556505021"/>
      </top>
      <bottom/>
      <diagonal/>
    </border>
    <border>
      <left/>
      <right style="thin">
        <color theme="0" tint="-0.14993743705557422"/>
      </right>
      <top style="medium">
        <color theme="0" tint="-0.1499679555650502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vertical="center"/>
    </xf>
    <xf numFmtId="0" fontId="6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 wrapText="1"/>
    </xf>
    <xf numFmtId="166" fontId="9" fillId="2" borderId="0" xfId="0" applyNumberFormat="1" applyFont="1" applyFill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/>
    </xf>
    <xf numFmtId="166" fontId="9" fillId="2" borderId="8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7" fillId="0" borderId="0" xfId="0" applyFont="1"/>
    <xf numFmtId="0" fontId="2" fillId="0" borderId="0" xfId="0" applyFont="1" applyAlignment="1">
      <alignment horizontal="right" vertical="center"/>
    </xf>
    <xf numFmtId="9" fontId="21" fillId="5" borderId="2" xfId="2" applyFont="1" applyFill="1" applyBorder="1" applyAlignment="1">
      <alignment horizontal="center" vertical="center"/>
    </xf>
    <xf numFmtId="165" fontId="21" fillId="5" borderId="2" xfId="0" applyNumberFormat="1" applyFont="1" applyFill="1" applyBorder="1" applyAlignment="1">
      <alignment horizontal="center" vertical="center"/>
    </xf>
    <xf numFmtId="165" fontId="21" fillId="5" borderId="12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0" fontId="22" fillId="5" borderId="0" xfId="0" applyFont="1" applyFill="1" applyAlignment="1">
      <alignment horizontal="left"/>
    </xf>
    <xf numFmtId="0" fontId="22" fillId="5" borderId="0" xfId="0" applyFont="1" applyFill="1" applyAlignment="1">
      <alignment horizontal="left" wrapText="1"/>
    </xf>
    <xf numFmtId="0" fontId="21" fillId="6" borderId="10" xfId="0" applyFont="1" applyFill="1" applyBorder="1" applyAlignment="1">
      <alignment horizontal="center" vertical="center"/>
    </xf>
    <xf numFmtId="0" fontId="21" fillId="6" borderId="14" xfId="0" applyFont="1" applyFill="1" applyBorder="1" applyAlignment="1">
      <alignment horizontal="center" vertical="center"/>
    </xf>
    <xf numFmtId="0" fontId="21" fillId="5" borderId="15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9" fontId="21" fillId="5" borderId="21" xfId="2" applyFont="1" applyFill="1" applyBorder="1" applyAlignment="1">
      <alignment horizontal="center" vertical="center"/>
    </xf>
    <xf numFmtId="165" fontId="21" fillId="5" borderId="21" xfId="0" applyNumberFormat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0" fillId="8" borderId="22" xfId="0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0" fontId="20" fillId="8" borderId="19" xfId="0" applyFont="1" applyFill="1" applyBorder="1" applyAlignment="1">
      <alignment horizontal="center" vertical="center"/>
    </xf>
    <xf numFmtId="0" fontId="21" fillId="5" borderId="24" xfId="0" applyFont="1" applyFill="1" applyBorder="1" applyAlignment="1">
      <alignment horizontal="center" vertical="center"/>
    </xf>
    <xf numFmtId="0" fontId="21" fillId="5" borderId="25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9" fontId="21" fillId="5" borderId="11" xfId="2" applyFont="1" applyFill="1" applyBorder="1" applyAlignment="1">
      <alignment horizontal="center" vertical="center"/>
    </xf>
    <xf numFmtId="165" fontId="21" fillId="5" borderId="11" xfId="0" applyNumberFormat="1" applyFont="1" applyFill="1" applyBorder="1" applyAlignment="1">
      <alignment horizontal="center" vertical="center"/>
    </xf>
    <xf numFmtId="0" fontId="21" fillId="5" borderId="13" xfId="0" applyFont="1" applyFill="1" applyBorder="1" applyAlignment="1">
      <alignment horizontal="center" vertical="center"/>
    </xf>
    <xf numFmtId="0" fontId="21" fillId="5" borderId="27" xfId="0" applyFont="1" applyFill="1" applyBorder="1" applyAlignment="1">
      <alignment horizontal="center" vertical="center"/>
    </xf>
    <xf numFmtId="0" fontId="21" fillId="6" borderId="13" xfId="0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0" fontId="24" fillId="5" borderId="0" xfId="0" applyFont="1" applyFill="1" applyAlignment="1">
      <alignment horizontal="left"/>
    </xf>
    <xf numFmtId="0" fontId="25" fillId="5" borderId="0" xfId="0" applyFont="1" applyFill="1" applyAlignment="1">
      <alignment horizontal="left"/>
    </xf>
    <xf numFmtId="0" fontId="26" fillId="7" borderId="0" xfId="0" applyFont="1" applyFill="1" applyAlignment="1">
      <alignment horizontal="left"/>
    </xf>
    <xf numFmtId="0" fontId="27" fillId="5" borderId="0" xfId="0" applyFont="1" applyFill="1" applyAlignment="1">
      <alignment horizontal="left"/>
    </xf>
    <xf numFmtId="9" fontId="23" fillId="7" borderId="20" xfId="2" applyFont="1" applyFill="1" applyBorder="1" applyAlignment="1">
      <alignment horizontal="center" vertical="center"/>
    </xf>
    <xf numFmtId="165" fontId="23" fillId="7" borderId="20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23" fillId="7" borderId="20" xfId="0" applyFont="1" applyFill="1" applyBorder="1" applyAlignment="1">
      <alignment horizontal="left" vertical="center" wrapText="1"/>
    </xf>
    <xf numFmtId="0" fontId="21" fillId="5" borderId="21" xfId="0" applyFont="1" applyFill="1" applyBorder="1" applyAlignment="1">
      <alignment horizontal="left" vertical="center" wrapText="1"/>
    </xf>
    <xf numFmtId="0" fontId="21" fillId="5" borderId="2" xfId="0" applyFont="1" applyFill="1" applyBorder="1" applyAlignment="1">
      <alignment horizontal="left" vertical="center" wrapText="1"/>
    </xf>
    <xf numFmtId="0" fontId="21" fillId="5" borderId="11" xfId="0" applyFont="1" applyFill="1" applyBorder="1" applyAlignment="1">
      <alignment horizontal="left" vertical="center" wrapText="1"/>
    </xf>
    <xf numFmtId="0" fontId="21" fillId="5" borderId="12" xfId="0" applyFont="1" applyFill="1" applyBorder="1" applyAlignment="1">
      <alignment horizontal="left" vertical="center" wrapText="1"/>
    </xf>
    <xf numFmtId="0" fontId="23" fillId="7" borderId="20" xfId="0" applyFont="1" applyFill="1" applyBorder="1" applyAlignment="1">
      <alignment horizontal="left" vertical="center" wrapText="1" indent="1"/>
    </xf>
    <xf numFmtId="0" fontId="21" fillId="5" borderId="21" xfId="0" applyFont="1" applyFill="1" applyBorder="1" applyAlignment="1">
      <alignment horizontal="left" vertical="center" wrapText="1" indent="2"/>
    </xf>
    <xf numFmtId="0" fontId="21" fillId="5" borderId="2" xfId="0" applyFont="1" applyFill="1" applyBorder="1" applyAlignment="1">
      <alignment horizontal="left" vertical="center" wrapText="1" indent="2"/>
    </xf>
    <xf numFmtId="0" fontId="21" fillId="5" borderId="11" xfId="0" applyFont="1" applyFill="1" applyBorder="1" applyAlignment="1">
      <alignment horizontal="left" vertical="center" wrapText="1" indent="2"/>
    </xf>
    <xf numFmtId="0" fontId="23" fillId="7" borderId="20" xfId="0" applyFont="1" applyFill="1" applyBorder="1" applyAlignment="1">
      <alignment horizontal="left" vertical="center" wrapText="1" indent="2"/>
    </xf>
    <xf numFmtId="0" fontId="21" fillId="5" borderId="2" xfId="0" applyFont="1" applyFill="1" applyBorder="1" applyAlignment="1">
      <alignment horizontal="left" vertical="center" wrapText="1" indent="1"/>
    </xf>
    <xf numFmtId="0" fontId="21" fillId="5" borderId="12" xfId="0" applyFont="1" applyFill="1" applyBorder="1" applyAlignment="1">
      <alignment horizontal="left" vertical="center" wrapText="1" indent="1"/>
    </xf>
    <xf numFmtId="0" fontId="3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9" fillId="5" borderId="0" xfId="1" applyFont="1" applyFill="1" applyAlignment="1" applyProtection="1">
      <alignment horizontal="left" vertical="center"/>
    </xf>
    <xf numFmtId="0" fontId="18" fillId="0" borderId="0" xfId="1" applyFont="1" applyAlignment="1" applyProtection="1">
      <alignment horizontal="left" vertical="center"/>
    </xf>
    <xf numFmtId="165" fontId="0" fillId="2" borderId="5" xfId="0" applyNumberFormat="1" applyFill="1" applyBorder="1" applyAlignment="1">
      <alignment horizontal="left" vertical="center" wrapText="1" indent="1"/>
    </xf>
    <xf numFmtId="165" fontId="0" fillId="2" borderId="1" xfId="0" applyNumberFormat="1" applyFill="1" applyBorder="1" applyAlignment="1">
      <alignment horizontal="left" vertical="center" wrapText="1" indent="1"/>
    </xf>
    <xf numFmtId="165" fontId="0" fillId="2" borderId="6" xfId="0" applyNumberFormat="1" applyFill="1" applyBorder="1" applyAlignment="1">
      <alignment horizontal="left" vertical="center" wrapText="1" indent="1"/>
    </xf>
    <xf numFmtId="165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</cellXfs>
  <cellStyles count="3">
    <cellStyle name="Hyperlink" xfId="1" builtinId="8" customBuiltin="1"/>
    <cellStyle name="Normal" xfId="0" builtinId="0"/>
    <cellStyle name="Percent" xfId="2" builtinId="5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ExcelTemplates/simple-gantt-chart.html?utm_source=v42&amp;utm_medium=file&amp;utm_campaign=templates&amp;utm_term=simple-gantt-chart_ms&amp;utm_content=log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95250</xdr:rowOff>
    </xdr:from>
    <xdr:to>
      <xdr:col>1</xdr:col>
      <xdr:colOff>1905000</xdr:colOff>
      <xdr:row>0</xdr:row>
      <xdr:rowOff>523875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638EF3-2DAE-40BC-A45A-2B8C536FA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5250"/>
          <a:ext cx="1905000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D80380-3DA7-4DDC-82B3-52A56312B644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e6d0a611-c881-4fbb-a81a-254b9451f8e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L46"/>
  <sheetViews>
    <sheetView showGridLines="0" tabSelected="1" showRuler="0" zoomScale="50" zoomScaleNormal="85" zoomScalePageLayoutView="70" workbookViewId="0">
      <pane ySplit="6" topLeftCell="A33" activePane="bottomLeft" state="frozen"/>
      <selection pane="bottomLeft" activeCell="AK4" sqref="AK4:AQ4"/>
    </sheetView>
  </sheetViews>
  <sheetFormatPr defaultRowHeight="14.5" x14ac:dyDescent="0.35"/>
  <cols>
    <col min="1" max="1" width="2.7265625" customWidth="1"/>
    <col min="2" max="2" width="50.90625" customWidth="1"/>
    <col min="3" max="3" width="34.54296875" customWidth="1"/>
    <col min="4" max="4" width="12.36328125" customWidth="1"/>
    <col min="5" max="5" width="17.08984375" style="5" customWidth="1"/>
    <col min="6" max="6" width="17.08984375" customWidth="1"/>
    <col min="7" max="7" width="2.1796875" customWidth="1"/>
    <col min="8" max="8" width="0.36328125" customWidth="1"/>
    <col min="9" max="64" width="2.54296875" customWidth="1"/>
    <col min="69" max="70" width="10.26953125"/>
  </cols>
  <sheetData>
    <row r="1" spans="1:64" ht="30" customHeight="1" x14ac:dyDescent="0.6">
      <c r="B1" s="60" t="s">
        <v>5</v>
      </c>
      <c r="C1" s="1"/>
      <c r="D1" s="2"/>
      <c r="E1" s="4"/>
      <c r="F1" s="22"/>
      <c r="H1" s="2"/>
      <c r="I1" s="7"/>
      <c r="J1" s="76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</row>
    <row r="2" spans="1:64" ht="38" customHeight="1" x14ac:dyDescent="0.35">
      <c r="B2" s="74" t="s">
        <v>50</v>
      </c>
      <c r="C2" s="74"/>
      <c r="D2" s="61" t="s">
        <v>0</v>
      </c>
      <c r="E2" s="81">
        <v>46237</v>
      </c>
      <c r="F2" s="82"/>
    </row>
    <row r="3" spans="1:64" ht="43" customHeight="1" x14ac:dyDescent="0.35">
      <c r="B3" s="75" t="s">
        <v>52</v>
      </c>
      <c r="C3" s="75"/>
      <c r="D3" s="61" t="s">
        <v>51</v>
      </c>
      <c r="E3" s="81">
        <v>46278</v>
      </c>
      <c r="F3" s="82"/>
    </row>
    <row r="4" spans="1:64" ht="43" customHeight="1" x14ac:dyDescent="0.35">
      <c r="B4" s="75"/>
      <c r="C4" s="75"/>
      <c r="E4"/>
      <c r="I4" s="78">
        <f>I5</f>
        <v>46237</v>
      </c>
      <c r="J4" s="79"/>
      <c r="K4" s="79"/>
      <c r="L4" s="79"/>
      <c r="M4" s="79"/>
      <c r="N4" s="79"/>
      <c r="O4" s="80"/>
      <c r="P4" s="78">
        <f>P5</f>
        <v>46244</v>
      </c>
      <c r="Q4" s="79"/>
      <c r="R4" s="79"/>
      <c r="S4" s="79"/>
      <c r="T4" s="79"/>
      <c r="U4" s="79"/>
      <c r="V4" s="80"/>
      <c r="W4" s="78">
        <f>W5</f>
        <v>46251</v>
      </c>
      <c r="X4" s="79"/>
      <c r="Y4" s="79"/>
      <c r="Z4" s="79"/>
      <c r="AA4" s="79"/>
      <c r="AB4" s="79"/>
      <c r="AC4" s="80"/>
      <c r="AD4" s="78">
        <f>AD5</f>
        <v>46258</v>
      </c>
      <c r="AE4" s="79"/>
      <c r="AF4" s="79"/>
      <c r="AG4" s="79"/>
      <c r="AH4" s="79"/>
      <c r="AI4" s="79"/>
      <c r="AJ4" s="80"/>
      <c r="AK4" s="78">
        <f>AK5</f>
        <v>46265</v>
      </c>
      <c r="AL4" s="79"/>
      <c r="AM4" s="79"/>
      <c r="AN4" s="79"/>
      <c r="AO4" s="79"/>
      <c r="AP4" s="79"/>
      <c r="AQ4" s="80"/>
      <c r="AR4" s="78">
        <f>AR5</f>
        <v>46272</v>
      </c>
      <c r="AS4" s="79"/>
      <c r="AT4" s="79"/>
      <c r="AU4" s="79"/>
      <c r="AV4" s="79"/>
      <c r="AW4" s="79"/>
      <c r="AX4" s="80"/>
      <c r="AY4" s="78">
        <f>AY5</f>
        <v>46279</v>
      </c>
      <c r="AZ4" s="79"/>
      <c r="BA4" s="79"/>
      <c r="BB4" s="79"/>
      <c r="BC4" s="79"/>
      <c r="BD4" s="79"/>
      <c r="BE4" s="80"/>
      <c r="BF4" s="78">
        <f>BF5</f>
        <v>46286</v>
      </c>
      <c r="BG4" s="79"/>
      <c r="BH4" s="79"/>
      <c r="BI4" s="79"/>
      <c r="BJ4" s="79"/>
      <c r="BK4" s="79"/>
      <c r="BL4" s="80"/>
    </row>
    <row r="5" spans="1:64" ht="23" customHeight="1" x14ac:dyDescent="0.35">
      <c r="A5" s="6"/>
      <c r="G5" s="6"/>
      <c r="I5" s="11">
        <f>E2-WEEKDAY(E2,1)+2</f>
        <v>46237</v>
      </c>
      <c r="J5" s="10">
        <f>I5+1</f>
        <v>46238</v>
      </c>
      <c r="K5" s="10">
        <f t="shared" ref="K5:AX5" si="0">J5+1</f>
        <v>46239</v>
      </c>
      <c r="L5" s="10">
        <f t="shared" si="0"/>
        <v>46240</v>
      </c>
      <c r="M5" s="10">
        <f t="shared" si="0"/>
        <v>46241</v>
      </c>
      <c r="N5" s="10">
        <f t="shared" si="0"/>
        <v>46242</v>
      </c>
      <c r="O5" s="12">
        <f t="shared" si="0"/>
        <v>46243</v>
      </c>
      <c r="P5" s="11">
        <f>O5+1</f>
        <v>46244</v>
      </c>
      <c r="Q5" s="10">
        <f>P5+1</f>
        <v>46245</v>
      </c>
      <c r="R5" s="10">
        <f t="shared" si="0"/>
        <v>46246</v>
      </c>
      <c r="S5" s="10">
        <f t="shared" si="0"/>
        <v>46247</v>
      </c>
      <c r="T5" s="10">
        <f t="shared" si="0"/>
        <v>46248</v>
      </c>
      <c r="U5" s="10">
        <f t="shared" si="0"/>
        <v>46249</v>
      </c>
      <c r="V5" s="12">
        <f t="shared" si="0"/>
        <v>46250</v>
      </c>
      <c r="W5" s="11">
        <f>V5+1</f>
        <v>46251</v>
      </c>
      <c r="X5" s="10">
        <f>W5+1</f>
        <v>46252</v>
      </c>
      <c r="Y5" s="10">
        <f t="shared" si="0"/>
        <v>46253</v>
      </c>
      <c r="Z5" s="10">
        <f t="shared" si="0"/>
        <v>46254</v>
      </c>
      <c r="AA5" s="10">
        <f t="shared" si="0"/>
        <v>46255</v>
      </c>
      <c r="AB5" s="10">
        <f t="shared" si="0"/>
        <v>46256</v>
      </c>
      <c r="AC5" s="12">
        <f t="shared" si="0"/>
        <v>46257</v>
      </c>
      <c r="AD5" s="11">
        <f>AC5+1</f>
        <v>46258</v>
      </c>
      <c r="AE5" s="10">
        <f>AD5+1</f>
        <v>46259</v>
      </c>
      <c r="AF5" s="10">
        <f t="shared" si="0"/>
        <v>46260</v>
      </c>
      <c r="AG5" s="10">
        <f t="shared" si="0"/>
        <v>46261</v>
      </c>
      <c r="AH5" s="10">
        <f t="shared" si="0"/>
        <v>46262</v>
      </c>
      <c r="AI5" s="10">
        <f t="shared" si="0"/>
        <v>46263</v>
      </c>
      <c r="AJ5" s="12">
        <f t="shared" si="0"/>
        <v>46264</v>
      </c>
      <c r="AK5" s="11">
        <f>AJ5+1</f>
        <v>46265</v>
      </c>
      <c r="AL5" s="10">
        <f>AK5+1</f>
        <v>46266</v>
      </c>
      <c r="AM5" s="10">
        <f t="shared" si="0"/>
        <v>46267</v>
      </c>
      <c r="AN5" s="10">
        <f t="shared" si="0"/>
        <v>46268</v>
      </c>
      <c r="AO5" s="10">
        <f t="shared" si="0"/>
        <v>46269</v>
      </c>
      <c r="AP5" s="10">
        <f t="shared" si="0"/>
        <v>46270</v>
      </c>
      <c r="AQ5" s="12">
        <f t="shared" si="0"/>
        <v>46271</v>
      </c>
      <c r="AR5" s="11">
        <f>AQ5+1</f>
        <v>46272</v>
      </c>
      <c r="AS5" s="10">
        <f>AR5+1</f>
        <v>46273</v>
      </c>
      <c r="AT5" s="10">
        <f t="shared" si="0"/>
        <v>46274</v>
      </c>
      <c r="AU5" s="10">
        <f t="shared" si="0"/>
        <v>46275</v>
      </c>
      <c r="AV5" s="10">
        <f t="shared" si="0"/>
        <v>46276</v>
      </c>
      <c r="AW5" s="10">
        <f t="shared" si="0"/>
        <v>46277</v>
      </c>
      <c r="AX5" s="12">
        <f t="shared" si="0"/>
        <v>46278</v>
      </c>
      <c r="AY5" s="11">
        <f>AX5+1</f>
        <v>46279</v>
      </c>
      <c r="AZ5" s="10">
        <f>AY5+1</f>
        <v>46280</v>
      </c>
      <c r="BA5" s="10">
        <f t="shared" ref="BA5:BE5" si="1">AZ5+1</f>
        <v>46281</v>
      </c>
      <c r="BB5" s="10">
        <f t="shared" si="1"/>
        <v>46282</v>
      </c>
      <c r="BC5" s="10">
        <f t="shared" si="1"/>
        <v>46283</v>
      </c>
      <c r="BD5" s="10">
        <f t="shared" si="1"/>
        <v>46284</v>
      </c>
      <c r="BE5" s="12">
        <f t="shared" si="1"/>
        <v>46285</v>
      </c>
      <c r="BF5" s="11">
        <f>BE5+1</f>
        <v>46286</v>
      </c>
      <c r="BG5" s="10">
        <f>BF5+1</f>
        <v>46287</v>
      </c>
      <c r="BH5" s="10">
        <f t="shared" ref="BH5:BL5" si="2">BG5+1</f>
        <v>46288</v>
      </c>
      <c r="BI5" s="10">
        <f t="shared" si="2"/>
        <v>46289</v>
      </c>
      <c r="BJ5" s="10">
        <f t="shared" si="2"/>
        <v>46290</v>
      </c>
      <c r="BK5" s="10">
        <f t="shared" si="2"/>
        <v>46291</v>
      </c>
      <c r="BL5" s="12">
        <f t="shared" si="2"/>
        <v>46292</v>
      </c>
    </row>
    <row r="6" spans="1:64" ht="38" customHeight="1" thickBot="1" x14ac:dyDescent="0.4">
      <c r="A6" s="14"/>
      <c r="B6" s="8" t="s">
        <v>4</v>
      </c>
      <c r="C6" s="9" t="s">
        <v>2</v>
      </c>
      <c r="D6" s="9" t="s">
        <v>1</v>
      </c>
      <c r="E6" s="9" t="s">
        <v>48</v>
      </c>
      <c r="F6" s="9" t="s">
        <v>49</v>
      </c>
      <c r="G6" s="9"/>
      <c r="H6" s="9" t="s">
        <v>3</v>
      </c>
      <c r="I6" s="13" t="str">
        <f t="shared" ref="I6" si="3">LEFT(TEXT(I5,"ddd"),1)</f>
        <v>M</v>
      </c>
      <c r="J6" s="13" t="str">
        <f t="shared" ref="J6:AR6" si="4">LEFT(TEXT(J5,"ddd"),1)</f>
        <v>T</v>
      </c>
      <c r="K6" s="13" t="str">
        <f t="shared" si="4"/>
        <v>W</v>
      </c>
      <c r="L6" s="13" t="str">
        <f t="shared" si="4"/>
        <v>T</v>
      </c>
      <c r="M6" s="13" t="str">
        <f t="shared" si="4"/>
        <v>F</v>
      </c>
      <c r="N6" s="13" t="str">
        <f t="shared" si="4"/>
        <v>S</v>
      </c>
      <c r="O6" s="13" t="str">
        <f t="shared" si="4"/>
        <v>S</v>
      </c>
      <c r="P6" s="13" t="str">
        <f t="shared" si="4"/>
        <v>M</v>
      </c>
      <c r="Q6" s="13" t="str">
        <f t="shared" si="4"/>
        <v>T</v>
      </c>
      <c r="R6" s="13" t="str">
        <f t="shared" si="4"/>
        <v>W</v>
      </c>
      <c r="S6" s="13" t="str">
        <f t="shared" si="4"/>
        <v>T</v>
      </c>
      <c r="T6" s="13" t="str">
        <f t="shared" si="4"/>
        <v>F</v>
      </c>
      <c r="U6" s="13" t="str">
        <f t="shared" si="4"/>
        <v>S</v>
      </c>
      <c r="V6" s="13" t="str">
        <f t="shared" si="4"/>
        <v>S</v>
      </c>
      <c r="W6" s="13" t="str">
        <f t="shared" si="4"/>
        <v>M</v>
      </c>
      <c r="X6" s="13" t="str">
        <f t="shared" si="4"/>
        <v>T</v>
      </c>
      <c r="Y6" s="13" t="str">
        <f t="shared" si="4"/>
        <v>W</v>
      </c>
      <c r="Z6" s="13" t="str">
        <f t="shared" si="4"/>
        <v>T</v>
      </c>
      <c r="AA6" s="13" t="str">
        <f t="shared" si="4"/>
        <v>F</v>
      </c>
      <c r="AB6" s="13" t="str">
        <f t="shared" si="4"/>
        <v>S</v>
      </c>
      <c r="AC6" s="13" t="str">
        <f t="shared" si="4"/>
        <v>S</v>
      </c>
      <c r="AD6" s="13" t="str">
        <f t="shared" si="4"/>
        <v>M</v>
      </c>
      <c r="AE6" s="13" t="str">
        <f t="shared" si="4"/>
        <v>T</v>
      </c>
      <c r="AF6" s="13" t="str">
        <f t="shared" si="4"/>
        <v>W</v>
      </c>
      <c r="AG6" s="13" t="str">
        <f t="shared" si="4"/>
        <v>T</v>
      </c>
      <c r="AH6" s="13" t="str">
        <f t="shared" si="4"/>
        <v>F</v>
      </c>
      <c r="AI6" s="13" t="str">
        <f t="shared" si="4"/>
        <v>S</v>
      </c>
      <c r="AJ6" s="13" t="str">
        <f t="shared" si="4"/>
        <v>S</v>
      </c>
      <c r="AK6" s="13" t="str">
        <f t="shared" si="4"/>
        <v>M</v>
      </c>
      <c r="AL6" s="13" t="str">
        <f t="shared" si="4"/>
        <v>T</v>
      </c>
      <c r="AM6" s="13" t="str">
        <f t="shared" si="4"/>
        <v>W</v>
      </c>
      <c r="AN6" s="13" t="str">
        <f t="shared" si="4"/>
        <v>T</v>
      </c>
      <c r="AO6" s="13" t="str">
        <f t="shared" si="4"/>
        <v>F</v>
      </c>
      <c r="AP6" s="13" t="str">
        <f t="shared" si="4"/>
        <v>S</v>
      </c>
      <c r="AQ6" s="13" t="str">
        <f t="shared" si="4"/>
        <v>S</v>
      </c>
      <c r="AR6" s="13" t="str">
        <f t="shared" si="4"/>
        <v>M</v>
      </c>
      <c r="AS6" s="13" t="str">
        <f t="shared" ref="AS6:BL6" si="5">LEFT(TEXT(AS5,"ddd"),1)</f>
        <v>T</v>
      </c>
      <c r="AT6" s="13" t="str">
        <f t="shared" si="5"/>
        <v>W</v>
      </c>
      <c r="AU6" s="13" t="str">
        <f t="shared" si="5"/>
        <v>T</v>
      </c>
      <c r="AV6" s="13" t="str">
        <f t="shared" si="5"/>
        <v>F</v>
      </c>
      <c r="AW6" s="13" t="str">
        <f t="shared" si="5"/>
        <v>S</v>
      </c>
      <c r="AX6" s="13" t="str">
        <f t="shared" si="5"/>
        <v>S</v>
      </c>
      <c r="AY6" s="13" t="str">
        <f t="shared" si="5"/>
        <v>M</v>
      </c>
      <c r="AZ6" s="13" t="str">
        <f t="shared" si="5"/>
        <v>T</v>
      </c>
      <c r="BA6" s="13" t="str">
        <f t="shared" si="5"/>
        <v>W</v>
      </c>
      <c r="BB6" s="13" t="str">
        <f t="shared" si="5"/>
        <v>T</v>
      </c>
      <c r="BC6" s="13" t="str">
        <f t="shared" si="5"/>
        <v>F</v>
      </c>
      <c r="BD6" s="13" t="str">
        <f t="shared" si="5"/>
        <v>S</v>
      </c>
      <c r="BE6" s="13" t="str">
        <f t="shared" si="5"/>
        <v>S</v>
      </c>
      <c r="BF6" s="13" t="str">
        <f t="shared" si="5"/>
        <v>M</v>
      </c>
      <c r="BG6" s="13" t="str">
        <f t="shared" si="5"/>
        <v>T</v>
      </c>
      <c r="BH6" s="13" t="str">
        <f t="shared" si="5"/>
        <v>W</v>
      </c>
      <c r="BI6" s="13" t="str">
        <f t="shared" si="5"/>
        <v>T</v>
      </c>
      <c r="BJ6" s="13" t="str">
        <f t="shared" si="5"/>
        <v>F</v>
      </c>
      <c r="BK6" s="13" t="str">
        <f t="shared" si="5"/>
        <v>S</v>
      </c>
      <c r="BL6" s="13" t="str">
        <f t="shared" si="5"/>
        <v>S</v>
      </c>
    </row>
    <row r="7" spans="1:64" s="3" customFormat="1" ht="25" customHeight="1" thickBot="1" x14ac:dyDescent="0.4">
      <c r="A7" s="14"/>
      <c r="B7" s="67" t="s">
        <v>6</v>
      </c>
      <c r="C7" s="62"/>
      <c r="D7" s="58">
        <v>1</v>
      </c>
      <c r="E7" s="59">
        <v>46237</v>
      </c>
      <c r="F7" s="59">
        <v>46243</v>
      </c>
      <c r="G7" s="36"/>
      <c r="H7" s="36">
        <f t="shared" ref="H7:H43" si="6">IF(OR(ISBLANK(E7),ISBLANK(F7)),"",F7-E7+1)</f>
        <v>7</v>
      </c>
      <c r="I7" s="41"/>
      <c r="J7" s="41"/>
      <c r="K7" s="41"/>
      <c r="L7" s="41"/>
      <c r="M7" s="42"/>
      <c r="N7" s="41"/>
      <c r="O7" s="41"/>
      <c r="P7" s="43"/>
      <c r="Q7" s="41"/>
      <c r="R7" s="41"/>
      <c r="S7" s="41"/>
      <c r="T7" s="42"/>
      <c r="U7" s="41"/>
      <c r="V7" s="41"/>
      <c r="W7" s="43"/>
      <c r="X7" s="41"/>
      <c r="Y7" s="41"/>
      <c r="Z7" s="41"/>
      <c r="AA7" s="42"/>
      <c r="AB7" s="41"/>
      <c r="AC7" s="41"/>
      <c r="AD7" s="43"/>
      <c r="AE7" s="41"/>
      <c r="AF7" s="41"/>
      <c r="AG7" s="41"/>
      <c r="AH7" s="42"/>
      <c r="AI7" s="41"/>
      <c r="AJ7" s="41"/>
      <c r="AK7" s="43"/>
      <c r="AL7" s="41"/>
      <c r="AM7" s="41"/>
      <c r="AN7" s="41"/>
      <c r="AO7" s="42"/>
      <c r="AP7" s="41"/>
      <c r="AQ7" s="41"/>
      <c r="AR7" s="43"/>
      <c r="AS7" s="41"/>
      <c r="AT7" s="41"/>
      <c r="AU7" s="41"/>
      <c r="AV7" s="42"/>
      <c r="AW7" s="41"/>
      <c r="AX7" s="41"/>
      <c r="AY7" s="43"/>
      <c r="AZ7" s="41"/>
      <c r="BA7" s="41"/>
      <c r="BB7" s="41"/>
      <c r="BC7" s="42"/>
      <c r="BD7" s="41"/>
      <c r="BE7" s="41"/>
      <c r="BF7" s="43"/>
      <c r="BG7" s="41"/>
      <c r="BH7" s="41"/>
      <c r="BI7" s="41"/>
      <c r="BJ7" s="42"/>
      <c r="BK7" s="41"/>
      <c r="BL7" s="41"/>
    </row>
    <row r="8" spans="1:64" s="3" customFormat="1" ht="31" customHeight="1" thickBot="1" x14ac:dyDescent="0.4">
      <c r="A8" s="14"/>
      <c r="B8" s="68" t="s">
        <v>7</v>
      </c>
      <c r="C8" s="63" t="s">
        <v>8</v>
      </c>
      <c r="D8" s="38">
        <v>1</v>
      </c>
      <c r="E8" s="39">
        <v>46237</v>
      </c>
      <c r="F8" s="39">
        <v>46243</v>
      </c>
      <c r="G8" s="40"/>
      <c r="H8" s="40">
        <f t="shared" si="6"/>
        <v>7</v>
      </c>
      <c r="I8" s="44"/>
      <c r="J8" s="44"/>
      <c r="K8" s="44"/>
      <c r="L8" s="44"/>
      <c r="M8" s="45"/>
      <c r="N8" s="46"/>
      <c r="O8" s="46"/>
      <c r="P8" s="47"/>
      <c r="Q8" s="44"/>
      <c r="R8" s="44"/>
      <c r="S8" s="44"/>
      <c r="T8" s="45"/>
      <c r="U8" s="46"/>
      <c r="V8" s="46"/>
      <c r="W8" s="47"/>
      <c r="X8" s="44"/>
      <c r="Y8" s="44"/>
      <c r="Z8" s="44"/>
      <c r="AA8" s="45"/>
      <c r="AB8" s="46"/>
      <c r="AC8" s="46"/>
      <c r="AD8" s="47"/>
      <c r="AE8" s="44"/>
      <c r="AF8" s="44"/>
      <c r="AG8" s="44"/>
      <c r="AH8" s="45"/>
      <c r="AI8" s="46"/>
      <c r="AJ8" s="46"/>
      <c r="AK8" s="47"/>
      <c r="AL8" s="44"/>
      <c r="AM8" s="44"/>
      <c r="AN8" s="44"/>
      <c r="AO8" s="45"/>
      <c r="AP8" s="46"/>
      <c r="AQ8" s="46"/>
      <c r="AR8" s="47"/>
      <c r="AS8" s="44"/>
      <c r="AT8" s="44"/>
      <c r="AU8" s="44"/>
      <c r="AV8" s="45"/>
      <c r="AW8" s="46"/>
      <c r="AX8" s="46"/>
      <c r="AY8" s="47"/>
      <c r="AZ8" s="44"/>
      <c r="BA8" s="44"/>
      <c r="BB8" s="44"/>
      <c r="BC8" s="45"/>
      <c r="BD8" s="46"/>
      <c r="BE8" s="46"/>
      <c r="BF8" s="47"/>
      <c r="BG8" s="44"/>
      <c r="BH8" s="44"/>
      <c r="BI8" s="44"/>
      <c r="BJ8" s="45"/>
      <c r="BK8" s="46"/>
      <c r="BL8" s="46"/>
    </row>
    <row r="9" spans="1:64" s="3" customFormat="1" ht="31" customHeight="1" thickBot="1" x14ac:dyDescent="0.4">
      <c r="A9" s="14"/>
      <c r="B9" s="69" t="s">
        <v>9</v>
      </c>
      <c r="C9" s="64" t="s">
        <v>8</v>
      </c>
      <c r="D9" s="23">
        <v>1</v>
      </c>
      <c r="E9" s="24">
        <v>46237</v>
      </c>
      <c r="F9" s="24">
        <v>46243</v>
      </c>
      <c r="G9" s="15"/>
      <c r="H9" s="15">
        <f t="shared" si="6"/>
        <v>7</v>
      </c>
      <c r="I9" s="26"/>
      <c r="J9" s="26"/>
      <c r="K9" s="26"/>
      <c r="L9" s="26"/>
      <c r="M9" s="32"/>
      <c r="N9" s="30"/>
      <c r="O9" s="30"/>
      <c r="P9" s="34"/>
      <c r="Q9" s="26"/>
      <c r="R9" s="26"/>
      <c r="S9" s="26"/>
      <c r="T9" s="32"/>
      <c r="U9" s="30"/>
      <c r="V9" s="30"/>
      <c r="W9" s="34"/>
      <c r="X9" s="26"/>
      <c r="Y9" s="26"/>
      <c r="Z9" s="26"/>
      <c r="AA9" s="32"/>
      <c r="AB9" s="30"/>
      <c r="AC9" s="30"/>
      <c r="AD9" s="34"/>
      <c r="AE9" s="26"/>
      <c r="AF9" s="26"/>
      <c r="AG9" s="26"/>
      <c r="AH9" s="32"/>
      <c r="AI9" s="30"/>
      <c r="AJ9" s="30"/>
      <c r="AK9" s="34"/>
      <c r="AL9" s="26"/>
      <c r="AM9" s="26"/>
      <c r="AN9" s="26"/>
      <c r="AO9" s="32"/>
      <c r="AP9" s="30"/>
      <c r="AQ9" s="30"/>
      <c r="AR9" s="34"/>
      <c r="AS9" s="26"/>
      <c r="AT9" s="26"/>
      <c r="AU9" s="26"/>
      <c r="AV9" s="32"/>
      <c r="AW9" s="30"/>
      <c r="AX9" s="30"/>
      <c r="AY9" s="34"/>
      <c r="AZ9" s="26"/>
      <c r="BA9" s="26"/>
      <c r="BB9" s="26"/>
      <c r="BC9" s="32"/>
      <c r="BD9" s="30"/>
      <c r="BE9" s="30"/>
      <c r="BF9" s="34"/>
      <c r="BG9" s="26"/>
      <c r="BH9" s="26"/>
      <c r="BI9" s="26"/>
      <c r="BJ9" s="32"/>
      <c r="BK9" s="30"/>
      <c r="BL9" s="30"/>
    </row>
    <row r="10" spans="1:64" s="3" customFormat="1" ht="31" customHeight="1" thickBot="1" x14ac:dyDescent="0.4">
      <c r="A10" s="14"/>
      <c r="B10" s="70" t="s">
        <v>10</v>
      </c>
      <c r="C10" s="65" t="s">
        <v>8</v>
      </c>
      <c r="D10" s="48">
        <v>1</v>
      </c>
      <c r="E10" s="49">
        <v>46237</v>
      </c>
      <c r="F10" s="49">
        <v>46243</v>
      </c>
      <c r="G10" s="37"/>
      <c r="H10" s="37">
        <f t="shared" si="6"/>
        <v>7</v>
      </c>
      <c r="I10" s="50"/>
      <c r="J10" s="50"/>
      <c r="K10" s="50"/>
      <c r="L10" s="50"/>
      <c r="M10" s="51"/>
      <c r="N10" s="52"/>
      <c r="O10" s="52"/>
      <c r="P10" s="53"/>
      <c r="Q10" s="50"/>
      <c r="R10" s="50"/>
      <c r="S10" s="50"/>
      <c r="T10" s="51"/>
      <c r="U10" s="52"/>
      <c r="V10" s="52"/>
      <c r="W10" s="53"/>
      <c r="X10" s="50"/>
      <c r="Y10" s="50"/>
      <c r="Z10" s="50"/>
      <c r="AA10" s="51"/>
      <c r="AB10" s="52"/>
      <c r="AC10" s="52"/>
      <c r="AD10" s="53"/>
      <c r="AE10" s="50"/>
      <c r="AF10" s="50"/>
      <c r="AG10" s="50"/>
      <c r="AH10" s="51"/>
      <c r="AI10" s="52"/>
      <c r="AJ10" s="52"/>
      <c r="AK10" s="53"/>
      <c r="AL10" s="50"/>
      <c r="AM10" s="50"/>
      <c r="AN10" s="50"/>
      <c r="AO10" s="51"/>
      <c r="AP10" s="52"/>
      <c r="AQ10" s="52"/>
      <c r="AR10" s="53"/>
      <c r="AS10" s="50"/>
      <c r="AT10" s="50"/>
      <c r="AU10" s="50"/>
      <c r="AV10" s="51"/>
      <c r="AW10" s="52"/>
      <c r="AX10" s="52"/>
      <c r="AY10" s="53"/>
      <c r="AZ10" s="50"/>
      <c r="BA10" s="50"/>
      <c r="BB10" s="50"/>
      <c r="BC10" s="51"/>
      <c r="BD10" s="52"/>
      <c r="BE10" s="52"/>
      <c r="BF10" s="53"/>
      <c r="BG10" s="50"/>
      <c r="BH10" s="50"/>
      <c r="BI10" s="50"/>
      <c r="BJ10" s="51"/>
      <c r="BK10" s="52"/>
      <c r="BL10" s="52"/>
    </row>
    <row r="11" spans="1:64" s="3" customFormat="1" ht="25" customHeight="1" thickBot="1" x14ac:dyDescent="0.4">
      <c r="A11" s="14"/>
      <c r="B11" s="71" t="s">
        <v>11</v>
      </c>
      <c r="C11" s="62"/>
      <c r="D11" s="58">
        <v>1</v>
      </c>
      <c r="E11" s="59">
        <v>46244</v>
      </c>
      <c r="F11" s="59">
        <v>46250</v>
      </c>
      <c r="G11" s="36"/>
      <c r="H11" s="36">
        <f t="shared" si="6"/>
        <v>7</v>
      </c>
      <c r="I11" s="41"/>
      <c r="J11" s="41"/>
      <c r="K11" s="41"/>
      <c r="L11" s="41"/>
      <c r="M11" s="42"/>
      <c r="N11" s="41"/>
      <c r="O11" s="41"/>
      <c r="P11" s="43"/>
      <c r="Q11" s="41"/>
      <c r="R11" s="41"/>
      <c r="S11" s="41"/>
      <c r="T11" s="42"/>
      <c r="U11" s="41"/>
      <c r="V11" s="41"/>
      <c r="W11" s="43"/>
      <c r="X11" s="41"/>
      <c r="Y11" s="41"/>
      <c r="Z11" s="41"/>
      <c r="AA11" s="42"/>
      <c r="AB11" s="41"/>
      <c r="AC11" s="41"/>
      <c r="AD11" s="43"/>
      <c r="AE11" s="41"/>
      <c r="AF11" s="41"/>
      <c r="AG11" s="41"/>
      <c r="AH11" s="42"/>
      <c r="AI11" s="41"/>
      <c r="AJ11" s="41"/>
      <c r="AK11" s="43"/>
      <c r="AL11" s="41"/>
      <c r="AM11" s="41"/>
      <c r="AN11" s="41"/>
      <c r="AO11" s="42"/>
      <c r="AP11" s="41"/>
      <c r="AQ11" s="41"/>
      <c r="AR11" s="43"/>
      <c r="AS11" s="41"/>
      <c r="AT11" s="41"/>
      <c r="AU11" s="41"/>
      <c r="AV11" s="42"/>
      <c r="AW11" s="41"/>
      <c r="AX11" s="41"/>
      <c r="AY11" s="43"/>
      <c r="AZ11" s="41"/>
      <c r="BA11" s="41"/>
      <c r="BB11" s="41"/>
      <c r="BC11" s="42"/>
      <c r="BD11" s="41"/>
      <c r="BE11" s="41"/>
      <c r="BF11" s="43"/>
      <c r="BG11" s="41"/>
      <c r="BH11" s="41"/>
      <c r="BI11" s="41"/>
      <c r="BJ11" s="42"/>
      <c r="BK11" s="41"/>
      <c r="BL11" s="41"/>
    </row>
    <row r="12" spans="1:64" s="3" customFormat="1" ht="31" customHeight="1" thickBot="1" x14ac:dyDescent="0.4">
      <c r="A12" s="14"/>
      <c r="B12" s="68" t="s">
        <v>12</v>
      </c>
      <c r="C12" s="63" t="s">
        <v>13</v>
      </c>
      <c r="D12" s="38">
        <v>1</v>
      </c>
      <c r="E12" s="39">
        <v>46244</v>
      </c>
      <c r="F12" s="39">
        <v>46250</v>
      </c>
      <c r="G12" s="40"/>
      <c r="H12" s="40">
        <f t="shared" si="6"/>
        <v>7</v>
      </c>
      <c r="I12" s="44"/>
      <c r="J12" s="44"/>
      <c r="K12" s="44"/>
      <c r="L12" s="44"/>
      <c r="M12" s="45"/>
      <c r="N12" s="46"/>
      <c r="O12" s="46"/>
      <c r="P12" s="47"/>
      <c r="Q12" s="44"/>
      <c r="R12" s="44"/>
      <c r="S12" s="44"/>
      <c r="T12" s="45"/>
      <c r="U12" s="46"/>
      <c r="V12" s="46"/>
      <c r="W12" s="47"/>
      <c r="X12" s="44"/>
      <c r="Y12" s="44"/>
      <c r="Z12" s="44"/>
      <c r="AA12" s="45"/>
      <c r="AB12" s="46"/>
      <c r="AC12" s="46"/>
      <c r="AD12" s="47"/>
      <c r="AE12" s="44"/>
      <c r="AF12" s="44"/>
      <c r="AG12" s="44"/>
      <c r="AH12" s="45"/>
      <c r="AI12" s="46"/>
      <c r="AJ12" s="46"/>
      <c r="AK12" s="47"/>
      <c r="AL12" s="44"/>
      <c r="AM12" s="44"/>
      <c r="AN12" s="44"/>
      <c r="AO12" s="45"/>
      <c r="AP12" s="46"/>
      <c r="AQ12" s="46"/>
      <c r="AR12" s="47"/>
      <c r="AS12" s="44"/>
      <c r="AT12" s="44"/>
      <c r="AU12" s="44"/>
      <c r="AV12" s="45"/>
      <c r="AW12" s="46"/>
      <c r="AX12" s="46"/>
      <c r="AY12" s="47"/>
      <c r="AZ12" s="44"/>
      <c r="BA12" s="44"/>
      <c r="BB12" s="44"/>
      <c r="BC12" s="45"/>
      <c r="BD12" s="46"/>
      <c r="BE12" s="46"/>
      <c r="BF12" s="47"/>
      <c r="BG12" s="44"/>
      <c r="BH12" s="44"/>
      <c r="BI12" s="44"/>
      <c r="BJ12" s="45"/>
      <c r="BK12" s="46"/>
      <c r="BL12" s="46"/>
    </row>
    <row r="13" spans="1:64" s="3" customFormat="1" ht="31" customHeight="1" thickBot="1" x14ac:dyDescent="0.4">
      <c r="A13" s="14"/>
      <c r="B13" s="72" t="s">
        <v>14</v>
      </c>
      <c r="C13" s="64" t="s">
        <v>8</v>
      </c>
      <c r="D13" s="23">
        <v>1</v>
      </c>
      <c r="E13" s="24">
        <v>46244</v>
      </c>
      <c r="F13" s="24">
        <v>46250</v>
      </c>
      <c r="G13" s="15"/>
      <c r="H13" s="15">
        <f t="shared" si="6"/>
        <v>7</v>
      </c>
      <c r="I13" s="26"/>
      <c r="J13" s="26"/>
      <c r="K13" s="26"/>
      <c r="L13" s="26"/>
      <c r="M13" s="32"/>
      <c r="N13" s="30"/>
      <c r="O13" s="30"/>
      <c r="P13" s="34"/>
      <c r="Q13" s="26"/>
      <c r="R13" s="26"/>
      <c r="S13" s="26"/>
      <c r="T13" s="32"/>
      <c r="U13" s="30"/>
      <c r="V13" s="30"/>
      <c r="W13" s="34"/>
      <c r="X13" s="26"/>
      <c r="Y13" s="26"/>
      <c r="Z13" s="26"/>
      <c r="AA13" s="32"/>
      <c r="AB13" s="30"/>
      <c r="AC13" s="30"/>
      <c r="AD13" s="34"/>
      <c r="AE13" s="26"/>
      <c r="AF13" s="26"/>
      <c r="AG13" s="26"/>
      <c r="AH13" s="32"/>
      <c r="AI13" s="30"/>
      <c r="AJ13" s="30"/>
      <c r="AK13" s="34"/>
      <c r="AL13" s="26"/>
      <c r="AM13" s="26"/>
      <c r="AN13" s="26"/>
      <c r="AO13" s="32"/>
      <c r="AP13" s="30"/>
      <c r="AQ13" s="30"/>
      <c r="AR13" s="34"/>
      <c r="AS13" s="26"/>
      <c r="AT13" s="26"/>
      <c r="AU13" s="26"/>
      <c r="AV13" s="32"/>
      <c r="AW13" s="30"/>
      <c r="AX13" s="30"/>
      <c r="AY13" s="34"/>
      <c r="AZ13" s="26"/>
      <c r="BA13" s="26"/>
      <c r="BB13" s="26"/>
      <c r="BC13" s="32"/>
      <c r="BD13" s="30"/>
      <c r="BE13" s="30"/>
      <c r="BF13" s="34"/>
      <c r="BG13" s="26"/>
      <c r="BH13" s="26"/>
      <c r="BI13" s="26"/>
      <c r="BJ13" s="32"/>
      <c r="BK13" s="30"/>
      <c r="BL13" s="30"/>
    </row>
    <row r="14" spans="1:64" s="3" customFormat="1" ht="31" customHeight="1" thickBot="1" x14ac:dyDescent="0.4">
      <c r="A14" s="14"/>
      <c r="B14" s="70" t="s">
        <v>15</v>
      </c>
      <c r="C14" s="65" t="s">
        <v>8</v>
      </c>
      <c r="D14" s="48">
        <v>1</v>
      </c>
      <c r="E14" s="49">
        <v>46244</v>
      </c>
      <c r="F14" s="49">
        <v>46250</v>
      </c>
      <c r="G14" s="37"/>
      <c r="H14" s="37">
        <f t="shared" si="6"/>
        <v>7</v>
      </c>
      <c r="I14" s="50"/>
      <c r="J14" s="50"/>
      <c r="K14" s="50"/>
      <c r="L14" s="50"/>
      <c r="M14" s="51"/>
      <c r="N14" s="52"/>
      <c r="O14" s="52"/>
      <c r="P14" s="53"/>
      <c r="Q14" s="50"/>
      <c r="R14" s="50"/>
      <c r="S14" s="50"/>
      <c r="T14" s="51"/>
      <c r="U14" s="52"/>
      <c r="V14" s="52"/>
      <c r="W14" s="53"/>
      <c r="X14" s="50"/>
      <c r="Y14" s="50"/>
      <c r="Z14" s="50"/>
      <c r="AA14" s="51"/>
      <c r="AB14" s="52"/>
      <c r="AC14" s="52"/>
      <c r="AD14" s="53"/>
      <c r="AE14" s="50"/>
      <c r="AF14" s="50"/>
      <c r="AG14" s="50"/>
      <c r="AH14" s="51"/>
      <c r="AI14" s="52"/>
      <c r="AJ14" s="52"/>
      <c r="AK14" s="53"/>
      <c r="AL14" s="50"/>
      <c r="AM14" s="50"/>
      <c r="AN14" s="50"/>
      <c r="AO14" s="51"/>
      <c r="AP14" s="52"/>
      <c r="AQ14" s="52"/>
      <c r="AR14" s="53"/>
      <c r="AS14" s="50"/>
      <c r="AT14" s="50"/>
      <c r="AU14" s="50"/>
      <c r="AV14" s="51"/>
      <c r="AW14" s="52"/>
      <c r="AX14" s="52"/>
      <c r="AY14" s="53"/>
      <c r="AZ14" s="50"/>
      <c r="BA14" s="50"/>
      <c r="BB14" s="50"/>
      <c r="BC14" s="51"/>
      <c r="BD14" s="52"/>
      <c r="BE14" s="52"/>
      <c r="BF14" s="53"/>
      <c r="BG14" s="50"/>
      <c r="BH14" s="50"/>
      <c r="BI14" s="50"/>
      <c r="BJ14" s="51"/>
      <c r="BK14" s="52"/>
      <c r="BL14" s="52"/>
    </row>
    <row r="15" spans="1:64" s="3" customFormat="1" ht="25" customHeight="1" thickBot="1" x14ac:dyDescent="0.4">
      <c r="A15" s="14"/>
      <c r="B15" s="71" t="s">
        <v>16</v>
      </c>
      <c r="C15" s="62"/>
      <c r="D15" s="58">
        <v>1</v>
      </c>
      <c r="E15" s="59">
        <v>46251</v>
      </c>
      <c r="F15" s="59">
        <v>46257</v>
      </c>
      <c r="G15" s="36"/>
      <c r="H15" s="36">
        <f t="shared" si="6"/>
        <v>7</v>
      </c>
      <c r="I15" s="41"/>
      <c r="J15" s="41"/>
      <c r="K15" s="41"/>
      <c r="L15" s="41"/>
      <c r="M15" s="42"/>
      <c r="N15" s="41"/>
      <c r="O15" s="41"/>
      <c r="P15" s="43"/>
      <c r="Q15" s="41"/>
      <c r="R15" s="41"/>
      <c r="S15" s="41"/>
      <c r="T15" s="42"/>
      <c r="U15" s="41"/>
      <c r="V15" s="41"/>
      <c r="W15" s="43"/>
      <c r="X15" s="41"/>
      <c r="Y15" s="41"/>
      <c r="Z15" s="41"/>
      <c r="AA15" s="42"/>
      <c r="AB15" s="41"/>
      <c r="AC15" s="41"/>
      <c r="AD15" s="43"/>
      <c r="AE15" s="41"/>
      <c r="AF15" s="41"/>
      <c r="AG15" s="41"/>
      <c r="AH15" s="42"/>
      <c r="AI15" s="41"/>
      <c r="AJ15" s="41"/>
      <c r="AK15" s="43"/>
      <c r="AL15" s="41"/>
      <c r="AM15" s="41"/>
      <c r="AN15" s="41"/>
      <c r="AO15" s="42"/>
      <c r="AP15" s="41"/>
      <c r="AQ15" s="41"/>
      <c r="AR15" s="43"/>
      <c r="AS15" s="41"/>
      <c r="AT15" s="41"/>
      <c r="AU15" s="41"/>
      <c r="AV15" s="42"/>
      <c r="AW15" s="41"/>
      <c r="AX15" s="41"/>
      <c r="AY15" s="43"/>
      <c r="AZ15" s="41"/>
      <c r="BA15" s="41"/>
      <c r="BB15" s="41"/>
      <c r="BC15" s="42"/>
      <c r="BD15" s="41"/>
      <c r="BE15" s="41"/>
      <c r="BF15" s="43"/>
      <c r="BG15" s="41"/>
      <c r="BH15" s="41"/>
      <c r="BI15" s="41"/>
      <c r="BJ15" s="42"/>
      <c r="BK15" s="41"/>
      <c r="BL15" s="41"/>
    </row>
    <row r="16" spans="1:64" s="3" customFormat="1" ht="31" customHeight="1" thickBot="1" x14ac:dyDescent="0.4">
      <c r="A16" s="14"/>
      <c r="B16" s="68" t="s">
        <v>17</v>
      </c>
      <c r="C16" s="63" t="s">
        <v>13</v>
      </c>
      <c r="D16" s="38">
        <v>1</v>
      </c>
      <c r="E16" s="39">
        <v>46251</v>
      </c>
      <c r="F16" s="39">
        <v>46257</v>
      </c>
      <c r="G16" s="40"/>
      <c r="H16" s="40">
        <f t="shared" si="6"/>
        <v>7</v>
      </c>
      <c r="I16" s="44"/>
      <c r="J16" s="44"/>
      <c r="K16" s="44"/>
      <c r="L16" s="44"/>
      <c r="M16" s="45"/>
      <c r="N16" s="46"/>
      <c r="O16" s="46"/>
      <c r="P16" s="47"/>
      <c r="Q16" s="44"/>
      <c r="R16" s="44"/>
      <c r="S16" s="44"/>
      <c r="T16" s="45"/>
      <c r="U16" s="46"/>
      <c r="V16" s="46"/>
      <c r="W16" s="47"/>
      <c r="X16" s="44"/>
      <c r="Y16" s="44"/>
      <c r="Z16" s="44"/>
      <c r="AA16" s="45"/>
      <c r="AB16" s="46"/>
      <c r="AC16" s="46"/>
      <c r="AD16" s="47"/>
      <c r="AE16" s="44"/>
      <c r="AF16" s="44"/>
      <c r="AG16" s="44"/>
      <c r="AH16" s="45"/>
      <c r="AI16" s="46"/>
      <c r="AJ16" s="46"/>
      <c r="AK16" s="47"/>
      <c r="AL16" s="44"/>
      <c r="AM16" s="44"/>
      <c r="AN16" s="44"/>
      <c r="AO16" s="45"/>
      <c r="AP16" s="46"/>
      <c r="AQ16" s="46"/>
      <c r="AR16" s="47"/>
      <c r="AS16" s="44"/>
      <c r="AT16" s="44"/>
      <c r="AU16" s="44"/>
      <c r="AV16" s="45"/>
      <c r="AW16" s="46"/>
      <c r="AX16" s="46"/>
      <c r="AY16" s="47"/>
      <c r="AZ16" s="44"/>
      <c r="BA16" s="44"/>
      <c r="BB16" s="44"/>
      <c r="BC16" s="45"/>
      <c r="BD16" s="46"/>
      <c r="BE16" s="46"/>
      <c r="BF16" s="47"/>
      <c r="BG16" s="44"/>
      <c r="BH16" s="44"/>
      <c r="BI16" s="44"/>
      <c r="BJ16" s="45"/>
      <c r="BK16" s="46"/>
      <c r="BL16" s="46"/>
    </row>
    <row r="17" spans="1:64" s="3" customFormat="1" ht="31" customHeight="1" thickBot="1" x14ac:dyDescent="0.4">
      <c r="A17" s="14"/>
      <c r="B17" s="69" t="s">
        <v>18</v>
      </c>
      <c r="C17" s="64" t="s">
        <v>13</v>
      </c>
      <c r="D17" s="23">
        <v>1</v>
      </c>
      <c r="E17" s="24">
        <v>46251</v>
      </c>
      <c r="F17" s="24">
        <v>46257</v>
      </c>
      <c r="G17" s="15"/>
      <c r="H17" s="15">
        <f t="shared" si="6"/>
        <v>7</v>
      </c>
      <c r="I17" s="26"/>
      <c r="J17" s="26"/>
      <c r="K17" s="26"/>
      <c r="L17" s="26"/>
      <c r="M17" s="32"/>
      <c r="N17" s="30"/>
      <c r="O17" s="30"/>
      <c r="P17" s="34"/>
      <c r="Q17" s="26"/>
      <c r="R17" s="26"/>
      <c r="S17" s="26"/>
      <c r="T17" s="32"/>
      <c r="U17" s="30"/>
      <c r="V17" s="30"/>
      <c r="W17" s="34"/>
      <c r="X17" s="26"/>
      <c r="Y17" s="26"/>
      <c r="Z17" s="26"/>
      <c r="AA17" s="32"/>
      <c r="AB17" s="30"/>
      <c r="AC17" s="30"/>
      <c r="AD17" s="34"/>
      <c r="AE17" s="26"/>
      <c r="AF17" s="26"/>
      <c r="AG17" s="26"/>
      <c r="AH17" s="32"/>
      <c r="AI17" s="30"/>
      <c r="AJ17" s="30"/>
      <c r="AK17" s="34"/>
      <c r="AL17" s="26"/>
      <c r="AM17" s="26"/>
      <c r="AN17" s="26"/>
      <c r="AO17" s="32"/>
      <c r="AP17" s="30"/>
      <c r="AQ17" s="30"/>
      <c r="AR17" s="34"/>
      <c r="AS17" s="26"/>
      <c r="AT17" s="26"/>
      <c r="AU17" s="26"/>
      <c r="AV17" s="32"/>
      <c r="AW17" s="30"/>
      <c r="AX17" s="30"/>
      <c r="AY17" s="34"/>
      <c r="AZ17" s="26"/>
      <c r="BA17" s="26"/>
      <c r="BB17" s="26"/>
      <c r="BC17" s="32"/>
      <c r="BD17" s="30"/>
      <c r="BE17" s="30"/>
      <c r="BF17" s="34"/>
      <c r="BG17" s="26"/>
      <c r="BH17" s="26"/>
      <c r="BI17" s="26"/>
      <c r="BJ17" s="32"/>
      <c r="BK17" s="30"/>
      <c r="BL17" s="30"/>
    </row>
    <row r="18" spans="1:64" s="3" customFormat="1" ht="31" customHeight="1" thickBot="1" x14ac:dyDescent="0.4">
      <c r="A18" s="14"/>
      <c r="B18" s="69" t="s">
        <v>19</v>
      </c>
      <c r="C18" s="64" t="s">
        <v>20</v>
      </c>
      <c r="D18" s="23">
        <v>1</v>
      </c>
      <c r="E18" s="24">
        <v>46251</v>
      </c>
      <c r="F18" s="24">
        <v>46257</v>
      </c>
      <c r="G18" s="15"/>
      <c r="H18" s="15">
        <f t="shared" si="6"/>
        <v>7</v>
      </c>
      <c r="I18" s="26"/>
      <c r="J18" s="26"/>
      <c r="K18" s="26"/>
      <c r="L18" s="26"/>
      <c r="M18" s="32"/>
      <c r="N18" s="30"/>
      <c r="O18" s="30"/>
      <c r="P18" s="34"/>
      <c r="Q18" s="26"/>
      <c r="R18" s="26"/>
      <c r="S18" s="26"/>
      <c r="T18" s="32"/>
      <c r="U18" s="30"/>
      <c r="V18" s="30"/>
      <c r="W18" s="34"/>
      <c r="X18" s="26"/>
      <c r="Y18" s="26"/>
      <c r="Z18" s="26"/>
      <c r="AA18" s="32"/>
      <c r="AB18" s="30"/>
      <c r="AC18" s="30"/>
      <c r="AD18" s="34"/>
      <c r="AE18" s="26"/>
      <c r="AF18" s="26"/>
      <c r="AG18" s="26"/>
      <c r="AH18" s="32"/>
      <c r="AI18" s="30"/>
      <c r="AJ18" s="30"/>
      <c r="AK18" s="34"/>
      <c r="AL18" s="26"/>
      <c r="AM18" s="26"/>
      <c r="AN18" s="26"/>
      <c r="AO18" s="32"/>
      <c r="AP18" s="30"/>
      <c r="AQ18" s="30"/>
      <c r="AR18" s="34"/>
      <c r="AS18" s="26"/>
      <c r="AT18" s="26"/>
      <c r="AU18" s="26"/>
      <c r="AV18" s="32"/>
      <c r="AW18" s="30"/>
      <c r="AX18" s="30"/>
      <c r="AY18" s="34"/>
      <c r="AZ18" s="26"/>
      <c r="BA18" s="26"/>
      <c r="BB18" s="26"/>
      <c r="BC18" s="32"/>
      <c r="BD18" s="30"/>
      <c r="BE18" s="30"/>
      <c r="BF18" s="34"/>
      <c r="BG18" s="26"/>
      <c r="BH18" s="26"/>
      <c r="BI18" s="26"/>
      <c r="BJ18" s="32"/>
      <c r="BK18" s="30"/>
      <c r="BL18" s="30"/>
    </row>
    <row r="19" spans="1:64" s="3" customFormat="1" ht="31" customHeight="1" thickBot="1" x14ac:dyDescent="0.4">
      <c r="A19" s="14"/>
      <c r="B19" s="72" t="s">
        <v>21</v>
      </c>
      <c r="C19" s="64" t="s">
        <v>20</v>
      </c>
      <c r="D19" s="23">
        <v>1</v>
      </c>
      <c r="E19" s="24">
        <v>46251</v>
      </c>
      <c r="F19" s="24">
        <v>46257</v>
      </c>
      <c r="G19" s="15"/>
      <c r="H19" s="15">
        <f t="shared" si="6"/>
        <v>7</v>
      </c>
      <c r="I19" s="26"/>
      <c r="J19" s="26"/>
      <c r="K19" s="26"/>
      <c r="L19" s="26"/>
      <c r="M19" s="32"/>
      <c r="N19" s="30"/>
      <c r="O19" s="30"/>
      <c r="P19" s="34"/>
      <c r="Q19" s="26"/>
      <c r="R19" s="26"/>
      <c r="S19" s="26"/>
      <c r="T19" s="32"/>
      <c r="U19" s="30"/>
      <c r="V19" s="30"/>
      <c r="W19" s="34"/>
      <c r="X19" s="26"/>
      <c r="Y19" s="26"/>
      <c r="Z19" s="26"/>
      <c r="AA19" s="32"/>
      <c r="AB19" s="30"/>
      <c r="AC19" s="30"/>
      <c r="AD19" s="34"/>
      <c r="AE19" s="26"/>
      <c r="AF19" s="26"/>
      <c r="AG19" s="26"/>
      <c r="AH19" s="32"/>
      <c r="AI19" s="30"/>
      <c r="AJ19" s="30"/>
      <c r="AK19" s="34"/>
      <c r="AL19" s="26"/>
      <c r="AM19" s="26"/>
      <c r="AN19" s="26"/>
      <c r="AO19" s="32"/>
      <c r="AP19" s="30"/>
      <c r="AQ19" s="30"/>
      <c r="AR19" s="34"/>
      <c r="AS19" s="26"/>
      <c r="AT19" s="26"/>
      <c r="AU19" s="26"/>
      <c r="AV19" s="32"/>
      <c r="AW19" s="30"/>
      <c r="AX19" s="30"/>
      <c r="AY19" s="34"/>
      <c r="AZ19" s="26"/>
      <c r="BA19" s="26"/>
      <c r="BB19" s="26"/>
      <c r="BC19" s="32"/>
      <c r="BD19" s="30"/>
      <c r="BE19" s="30"/>
      <c r="BF19" s="34"/>
      <c r="BG19" s="26"/>
      <c r="BH19" s="26"/>
      <c r="BI19" s="26"/>
      <c r="BJ19" s="32"/>
      <c r="BK19" s="30"/>
      <c r="BL19" s="30"/>
    </row>
    <row r="20" spans="1:64" s="3" customFormat="1" ht="31" customHeight="1" thickBot="1" x14ac:dyDescent="0.4">
      <c r="A20" s="14"/>
      <c r="B20" s="69" t="s">
        <v>22</v>
      </c>
      <c r="C20" s="64" t="s">
        <v>13</v>
      </c>
      <c r="D20" s="23">
        <v>1</v>
      </c>
      <c r="E20" s="24">
        <v>46251</v>
      </c>
      <c r="F20" s="24">
        <v>46257</v>
      </c>
      <c r="G20" s="15"/>
      <c r="H20" s="15">
        <f t="shared" si="6"/>
        <v>7</v>
      </c>
      <c r="I20" s="26"/>
      <c r="J20" s="26"/>
      <c r="K20" s="26"/>
      <c r="L20" s="26"/>
      <c r="M20" s="32"/>
      <c r="N20" s="30"/>
      <c r="O20" s="30"/>
      <c r="P20" s="34"/>
      <c r="Q20" s="26"/>
      <c r="R20" s="26"/>
      <c r="S20" s="26"/>
      <c r="T20" s="32"/>
      <c r="U20" s="30"/>
      <c r="V20" s="30"/>
      <c r="W20" s="34"/>
      <c r="X20" s="26"/>
      <c r="Y20" s="26"/>
      <c r="Z20" s="26"/>
      <c r="AA20" s="32"/>
      <c r="AB20" s="30"/>
      <c r="AC20" s="30"/>
      <c r="AD20" s="34"/>
      <c r="AE20" s="26"/>
      <c r="AF20" s="26"/>
      <c r="AG20" s="26"/>
      <c r="AH20" s="32"/>
      <c r="AI20" s="30"/>
      <c r="AJ20" s="30"/>
      <c r="AK20" s="34"/>
      <c r="AL20" s="26"/>
      <c r="AM20" s="26"/>
      <c r="AN20" s="26"/>
      <c r="AO20" s="32"/>
      <c r="AP20" s="30"/>
      <c r="AQ20" s="30"/>
      <c r="AR20" s="34"/>
      <c r="AS20" s="26"/>
      <c r="AT20" s="26"/>
      <c r="AU20" s="26"/>
      <c r="AV20" s="32"/>
      <c r="AW20" s="30"/>
      <c r="AX20" s="30"/>
      <c r="AY20" s="34"/>
      <c r="AZ20" s="26"/>
      <c r="BA20" s="26"/>
      <c r="BB20" s="26"/>
      <c r="BC20" s="32"/>
      <c r="BD20" s="30"/>
      <c r="BE20" s="30"/>
      <c r="BF20" s="34"/>
      <c r="BG20" s="26"/>
      <c r="BH20" s="26"/>
      <c r="BI20" s="26"/>
      <c r="BJ20" s="32"/>
      <c r="BK20" s="30"/>
      <c r="BL20" s="30"/>
    </row>
    <row r="21" spans="1:64" s="3" customFormat="1" ht="31" customHeight="1" thickBot="1" x14ac:dyDescent="0.4">
      <c r="A21" s="14"/>
      <c r="B21" s="70" t="s">
        <v>23</v>
      </c>
      <c r="C21" s="65" t="s">
        <v>13</v>
      </c>
      <c r="D21" s="48">
        <v>1</v>
      </c>
      <c r="E21" s="49">
        <v>46251</v>
      </c>
      <c r="F21" s="49">
        <v>46257</v>
      </c>
      <c r="G21" s="37"/>
      <c r="H21" s="37">
        <f t="shared" si="6"/>
        <v>7</v>
      </c>
      <c r="I21" s="50"/>
      <c r="J21" s="50"/>
      <c r="K21" s="50"/>
      <c r="L21" s="50"/>
      <c r="M21" s="51"/>
      <c r="N21" s="52"/>
      <c r="O21" s="52"/>
      <c r="P21" s="53"/>
      <c r="Q21" s="50"/>
      <c r="R21" s="50"/>
      <c r="S21" s="50"/>
      <c r="T21" s="51"/>
      <c r="U21" s="52"/>
      <c r="V21" s="52"/>
      <c r="W21" s="53"/>
      <c r="X21" s="50"/>
      <c r="Y21" s="50"/>
      <c r="Z21" s="50"/>
      <c r="AA21" s="51"/>
      <c r="AB21" s="52"/>
      <c r="AC21" s="52"/>
      <c r="AD21" s="53"/>
      <c r="AE21" s="50"/>
      <c r="AF21" s="50"/>
      <c r="AG21" s="50"/>
      <c r="AH21" s="51"/>
      <c r="AI21" s="52"/>
      <c r="AJ21" s="52"/>
      <c r="AK21" s="53"/>
      <c r="AL21" s="50"/>
      <c r="AM21" s="50"/>
      <c r="AN21" s="50"/>
      <c r="AO21" s="51"/>
      <c r="AP21" s="52"/>
      <c r="AQ21" s="52"/>
      <c r="AR21" s="53"/>
      <c r="AS21" s="50"/>
      <c r="AT21" s="50"/>
      <c r="AU21" s="50"/>
      <c r="AV21" s="51"/>
      <c r="AW21" s="52"/>
      <c r="AX21" s="52"/>
      <c r="AY21" s="53"/>
      <c r="AZ21" s="50"/>
      <c r="BA21" s="50"/>
      <c r="BB21" s="50"/>
      <c r="BC21" s="51"/>
      <c r="BD21" s="52"/>
      <c r="BE21" s="52"/>
      <c r="BF21" s="53"/>
      <c r="BG21" s="50"/>
      <c r="BH21" s="50"/>
      <c r="BI21" s="50"/>
      <c r="BJ21" s="51"/>
      <c r="BK21" s="52"/>
      <c r="BL21" s="52"/>
    </row>
    <row r="22" spans="1:64" s="3" customFormat="1" ht="25" customHeight="1" thickBot="1" x14ac:dyDescent="0.4">
      <c r="A22" s="14"/>
      <c r="B22" s="71" t="s">
        <v>24</v>
      </c>
      <c r="C22" s="62"/>
      <c r="D22" s="58">
        <v>1</v>
      </c>
      <c r="E22" s="59">
        <v>46258</v>
      </c>
      <c r="F22" s="59">
        <v>46264</v>
      </c>
      <c r="G22" s="36"/>
      <c r="H22" s="36">
        <f t="shared" si="6"/>
        <v>7</v>
      </c>
      <c r="I22" s="41"/>
      <c r="J22" s="41"/>
      <c r="K22" s="41"/>
      <c r="L22" s="41"/>
      <c r="M22" s="42"/>
      <c r="N22" s="41"/>
      <c r="O22" s="41"/>
      <c r="P22" s="43"/>
      <c r="Q22" s="41"/>
      <c r="R22" s="41"/>
      <c r="S22" s="41"/>
      <c r="T22" s="42"/>
      <c r="U22" s="41"/>
      <c r="V22" s="41"/>
      <c r="W22" s="43"/>
      <c r="X22" s="41"/>
      <c r="Y22" s="41"/>
      <c r="Z22" s="41"/>
      <c r="AA22" s="42"/>
      <c r="AB22" s="41"/>
      <c r="AC22" s="41"/>
      <c r="AD22" s="43"/>
      <c r="AE22" s="41"/>
      <c r="AF22" s="41"/>
      <c r="AG22" s="41"/>
      <c r="AH22" s="42"/>
      <c r="AI22" s="41"/>
      <c r="AJ22" s="41"/>
      <c r="AK22" s="43"/>
      <c r="AL22" s="41"/>
      <c r="AM22" s="41"/>
      <c r="AN22" s="41"/>
      <c r="AO22" s="42"/>
      <c r="AP22" s="41"/>
      <c r="AQ22" s="41"/>
      <c r="AR22" s="43"/>
      <c r="AS22" s="41"/>
      <c r="AT22" s="41"/>
      <c r="AU22" s="41"/>
      <c r="AV22" s="42"/>
      <c r="AW22" s="41"/>
      <c r="AX22" s="41"/>
      <c r="AY22" s="43"/>
      <c r="AZ22" s="41"/>
      <c r="BA22" s="41"/>
      <c r="BB22" s="41"/>
      <c r="BC22" s="42"/>
      <c r="BD22" s="41"/>
      <c r="BE22" s="41"/>
      <c r="BF22" s="43"/>
      <c r="BG22" s="41"/>
      <c r="BH22" s="41"/>
      <c r="BI22" s="41"/>
      <c r="BJ22" s="42"/>
      <c r="BK22" s="41"/>
      <c r="BL22" s="41"/>
    </row>
    <row r="23" spans="1:64" s="3" customFormat="1" ht="31" customHeight="1" thickBot="1" x14ac:dyDescent="0.4">
      <c r="A23" s="14"/>
      <c r="B23" s="68" t="s">
        <v>25</v>
      </c>
      <c r="C23" s="63" t="s">
        <v>26</v>
      </c>
      <c r="D23" s="38">
        <v>1</v>
      </c>
      <c r="E23" s="39">
        <v>46258</v>
      </c>
      <c r="F23" s="39">
        <v>46264</v>
      </c>
      <c r="G23" s="40"/>
      <c r="H23" s="40">
        <f t="shared" si="6"/>
        <v>7</v>
      </c>
      <c r="I23" s="44"/>
      <c r="J23" s="44"/>
      <c r="K23" s="44"/>
      <c r="L23" s="44"/>
      <c r="M23" s="45"/>
      <c r="N23" s="46"/>
      <c r="O23" s="46"/>
      <c r="P23" s="47"/>
      <c r="Q23" s="44"/>
      <c r="R23" s="44"/>
      <c r="S23" s="44"/>
      <c r="T23" s="45"/>
      <c r="U23" s="46"/>
      <c r="V23" s="46"/>
      <c r="W23" s="47"/>
      <c r="X23" s="44"/>
      <c r="Y23" s="44"/>
      <c r="Z23" s="44"/>
      <c r="AA23" s="45"/>
      <c r="AB23" s="46"/>
      <c r="AC23" s="46"/>
      <c r="AD23" s="47"/>
      <c r="AE23" s="44"/>
      <c r="AF23" s="44"/>
      <c r="AG23" s="44"/>
      <c r="AH23" s="45"/>
      <c r="AI23" s="46"/>
      <c r="AJ23" s="46"/>
      <c r="AK23" s="47"/>
      <c r="AL23" s="44"/>
      <c r="AM23" s="44"/>
      <c r="AN23" s="44"/>
      <c r="AO23" s="45"/>
      <c r="AP23" s="46"/>
      <c r="AQ23" s="46"/>
      <c r="AR23" s="47"/>
      <c r="AS23" s="44"/>
      <c r="AT23" s="44"/>
      <c r="AU23" s="44"/>
      <c r="AV23" s="45"/>
      <c r="AW23" s="46"/>
      <c r="AX23" s="46"/>
      <c r="AY23" s="47"/>
      <c r="AZ23" s="44"/>
      <c r="BA23" s="44"/>
      <c r="BB23" s="44"/>
      <c r="BC23" s="45"/>
      <c r="BD23" s="46"/>
      <c r="BE23" s="46"/>
      <c r="BF23" s="47"/>
      <c r="BG23" s="44"/>
      <c r="BH23" s="44"/>
      <c r="BI23" s="44"/>
      <c r="BJ23" s="45"/>
      <c r="BK23" s="46"/>
      <c r="BL23" s="46"/>
    </row>
    <row r="24" spans="1:64" s="3" customFormat="1" ht="31" customHeight="1" thickBot="1" x14ac:dyDescent="0.4">
      <c r="A24" s="14"/>
      <c r="B24" s="69" t="s">
        <v>27</v>
      </c>
      <c r="C24" s="64" t="s">
        <v>28</v>
      </c>
      <c r="D24" s="23">
        <v>1</v>
      </c>
      <c r="E24" s="24">
        <v>46258</v>
      </c>
      <c r="F24" s="24">
        <v>46264</v>
      </c>
      <c r="G24" s="15"/>
      <c r="H24" s="15">
        <f t="shared" si="6"/>
        <v>7</v>
      </c>
      <c r="I24" s="26"/>
      <c r="J24" s="26"/>
      <c r="K24" s="26"/>
      <c r="L24" s="26"/>
      <c r="M24" s="32"/>
      <c r="N24" s="30"/>
      <c r="O24" s="30"/>
      <c r="P24" s="34"/>
      <c r="Q24" s="26"/>
      <c r="R24" s="26"/>
      <c r="S24" s="26"/>
      <c r="T24" s="32"/>
      <c r="U24" s="30"/>
      <c r="V24" s="30"/>
      <c r="W24" s="34"/>
      <c r="X24" s="26"/>
      <c r="Y24" s="26"/>
      <c r="Z24" s="26"/>
      <c r="AA24" s="32"/>
      <c r="AB24" s="30"/>
      <c r="AC24" s="30"/>
      <c r="AD24" s="34"/>
      <c r="AE24" s="26"/>
      <c r="AF24" s="26"/>
      <c r="AG24" s="26"/>
      <c r="AH24" s="32"/>
      <c r="AI24" s="30"/>
      <c r="AJ24" s="30"/>
      <c r="AK24" s="34"/>
      <c r="AL24" s="26"/>
      <c r="AM24" s="26"/>
      <c r="AN24" s="26"/>
      <c r="AO24" s="32"/>
      <c r="AP24" s="30"/>
      <c r="AQ24" s="30"/>
      <c r="AR24" s="34"/>
      <c r="AS24" s="26"/>
      <c r="AT24" s="26"/>
      <c r="AU24" s="26"/>
      <c r="AV24" s="32"/>
      <c r="AW24" s="30"/>
      <c r="AX24" s="30"/>
      <c r="AY24" s="34"/>
      <c r="AZ24" s="26"/>
      <c r="BA24" s="26"/>
      <c r="BB24" s="26"/>
      <c r="BC24" s="32"/>
      <c r="BD24" s="30"/>
      <c r="BE24" s="30"/>
      <c r="BF24" s="34"/>
      <c r="BG24" s="26"/>
      <c r="BH24" s="26"/>
      <c r="BI24" s="26"/>
      <c r="BJ24" s="32"/>
      <c r="BK24" s="30"/>
      <c r="BL24" s="30"/>
    </row>
    <row r="25" spans="1:64" s="3" customFormat="1" ht="31" customHeight="1" thickBot="1" x14ac:dyDescent="0.4">
      <c r="A25" s="14"/>
      <c r="B25" s="72" t="s">
        <v>29</v>
      </c>
      <c r="C25" s="64" t="s">
        <v>30</v>
      </c>
      <c r="D25" s="23">
        <v>1</v>
      </c>
      <c r="E25" s="24">
        <v>46258</v>
      </c>
      <c r="F25" s="24">
        <v>46264</v>
      </c>
      <c r="G25" s="15"/>
      <c r="H25" s="15">
        <f t="shared" si="6"/>
        <v>7</v>
      </c>
      <c r="I25" s="26"/>
      <c r="J25" s="26"/>
      <c r="K25" s="26"/>
      <c r="L25" s="26"/>
      <c r="M25" s="32"/>
      <c r="N25" s="30"/>
      <c r="O25" s="30"/>
      <c r="P25" s="34"/>
      <c r="Q25" s="26"/>
      <c r="R25" s="26"/>
      <c r="S25" s="26"/>
      <c r="T25" s="32"/>
      <c r="U25" s="30"/>
      <c r="V25" s="30"/>
      <c r="W25" s="34"/>
      <c r="X25" s="26"/>
      <c r="Y25" s="26"/>
      <c r="Z25" s="26"/>
      <c r="AA25" s="32"/>
      <c r="AB25" s="30"/>
      <c r="AC25" s="30"/>
      <c r="AD25" s="34"/>
      <c r="AE25" s="26"/>
      <c r="AF25" s="26"/>
      <c r="AG25" s="26"/>
      <c r="AH25" s="32"/>
      <c r="AI25" s="30"/>
      <c r="AJ25" s="30"/>
      <c r="AK25" s="34"/>
      <c r="AL25" s="26"/>
      <c r="AM25" s="26"/>
      <c r="AN25" s="26"/>
      <c r="AO25" s="32"/>
      <c r="AP25" s="30"/>
      <c r="AQ25" s="30"/>
      <c r="AR25" s="34"/>
      <c r="AS25" s="26"/>
      <c r="AT25" s="26"/>
      <c r="AU25" s="26"/>
      <c r="AV25" s="32"/>
      <c r="AW25" s="30"/>
      <c r="AX25" s="30"/>
      <c r="AY25" s="34"/>
      <c r="AZ25" s="26"/>
      <c r="BA25" s="26"/>
      <c r="BB25" s="26"/>
      <c r="BC25" s="32"/>
      <c r="BD25" s="30"/>
      <c r="BE25" s="30"/>
      <c r="BF25" s="34"/>
      <c r="BG25" s="26"/>
      <c r="BH25" s="26"/>
      <c r="BI25" s="26"/>
      <c r="BJ25" s="32"/>
      <c r="BK25" s="30"/>
      <c r="BL25" s="30"/>
    </row>
    <row r="26" spans="1:64" s="3" customFormat="1" ht="31" customHeight="1" thickBot="1" x14ac:dyDescent="0.4">
      <c r="A26" s="14"/>
      <c r="B26" s="69" t="s">
        <v>31</v>
      </c>
      <c r="C26" s="64" t="s">
        <v>30</v>
      </c>
      <c r="D26" s="23">
        <v>1</v>
      </c>
      <c r="E26" s="24">
        <v>46258</v>
      </c>
      <c r="F26" s="24">
        <v>46264</v>
      </c>
      <c r="G26" s="15"/>
      <c r="H26" s="15">
        <f t="shared" si="6"/>
        <v>7</v>
      </c>
      <c r="I26" s="26"/>
      <c r="J26" s="26"/>
      <c r="K26" s="26"/>
      <c r="L26" s="26"/>
      <c r="M26" s="32"/>
      <c r="N26" s="30"/>
      <c r="O26" s="30"/>
      <c r="P26" s="34"/>
      <c r="Q26" s="26"/>
      <c r="R26" s="26"/>
      <c r="S26" s="26"/>
      <c r="T26" s="32"/>
      <c r="U26" s="30"/>
      <c r="V26" s="30"/>
      <c r="W26" s="34"/>
      <c r="X26" s="26"/>
      <c r="Y26" s="26"/>
      <c r="Z26" s="26"/>
      <c r="AA26" s="32"/>
      <c r="AB26" s="30"/>
      <c r="AC26" s="30"/>
      <c r="AD26" s="34"/>
      <c r="AE26" s="26"/>
      <c r="AF26" s="26"/>
      <c r="AG26" s="26"/>
      <c r="AH26" s="32"/>
      <c r="AI26" s="30"/>
      <c r="AJ26" s="30"/>
      <c r="AK26" s="34"/>
      <c r="AL26" s="26"/>
      <c r="AM26" s="26"/>
      <c r="AN26" s="26"/>
      <c r="AO26" s="32"/>
      <c r="AP26" s="30"/>
      <c r="AQ26" s="30"/>
      <c r="AR26" s="34"/>
      <c r="AS26" s="26"/>
      <c r="AT26" s="26"/>
      <c r="AU26" s="26"/>
      <c r="AV26" s="32"/>
      <c r="AW26" s="30"/>
      <c r="AX26" s="30"/>
      <c r="AY26" s="34"/>
      <c r="AZ26" s="26"/>
      <c r="BA26" s="26"/>
      <c r="BB26" s="26"/>
      <c r="BC26" s="32"/>
      <c r="BD26" s="30"/>
      <c r="BE26" s="30"/>
      <c r="BF26" s="34"/>
      <c r="BG26" s="26"/>
      <c r="BH26" s="26"/>
      <c r="BI26" s="26"/>
      <c r="BJ26" s="32"/>
      <c r="BK26" s="30"/>
      <c r="BL26" s="30"/>
    </row>
    <row r="27" spans="1:64" s="3" customFormat="1" ht="31" customHeight="1" thickBot="1" x14ac:dyDescent="0.4">
      <c r="A27" s="14"/>
      <c r="B27" s="70" t="s">
        <v>32</v>
      </c>
      <c r="C27" s="65" t="s">
        <v>30</v>
      </c>
      <c r="D27" s="48">
        <v>1</v>
      </c>
      <c r="E27" s="49">
        <v>46258</v>
      </c>
      <c r="F27" s="49">
        <v>46264</v>
      </c>
      <c r="G27" s="37"/>
      <c r="H27" s="37">
        <f t="shared" si="6"/>
        <v>7</v>
      </c>
      <c r="I27" s="50"/>
      <c r="J27" s="50"/>
      <c r="K27" s="50"/>
      <c r="L27" s="50"/>
      <c r="M27" s="51"/>
      <c r="N27" s="52"/>
      <c r="O27" s="52"/>
      <c r="P27" s="53"/>
      <c r="Q27" s="50"/>
      <c r="R27" s="50"/>
      <c r="S27" s="50"/>
      <c r="T27" s="51"/>
      <c r="U27" s="52"/>
      <c r="V27" s="52"/>
      <c r="W27" s="53"/>
      <c r="X27" s="50"/>
      <c r="Y27" s="50"/>
      <c r="Z27" s="50"/>
      <c r="AA27" s="51"/>
      <c r="AB27" s="52"/>
      <c r="AC27" s="52"/>
      <c r="AD27" s="53"/>
      <c r="AE27" s="50"/>
      <c r="AF27" s="50"/>
      <c r="AG27" s="50"/>
      <c r="AH27" s="51"/>
      <c r="AI27" s="52"/>
      <c r="AJ27" s="52"/>
      <c r="AK27" s="53"/>
      <c r="AL27" s="50"/>
      <c r="AM27" s="50"/>
      <c r="AN27" s="50"/>
      <c r="AO27" s="51"/>
      <c r="AP27" s="52"/>
      <c r="AQ27" s="52"/>
      <c r="AR27" s="53"/>
      <c r="AS27" s="50"/>
      <c r="AT27" s="50"/>
      <c r="AU27" s="50"/>
      <c r="AV27" s="51"/>
      <c r="AW27" s="52"/>
      <c r="AX27" s="52"/>
      <c r="AY27" s="53"/>
      <c r="AZ27" s="50"/>
      <c r="BA27" s="50"/>
      <c r="BB27" s="50"/>
      <c r="BC27" s="51"/>
      <c r="BD27" s="52"/>
      <c r="BE27" s="52"/>
      <c r="BF27" s="53"/>
      <c r="BG27" s="50"/>
      <c r="BH27" s="50"/>
      <c r="BI27" s="50"/>
      <c r="BJ27" s="51"/>
      <c r="BK27" s="52"/>
      <c r="BL27" s="52"/>
    </row>
    <row r="28" spans="1:64" s="3" customFormat="1" ht="25" customHeight="1" thickBot="1" x14ac:dyDescent="0.4">
      <c r="A28" s="14"/>
      <c r="B28" s="71" t="s">
        <v>53</v>
      </c>
      <c r="C28" s="62"/>
      <c r="D28" s="58">
        <v>1</v>
      </c>
      <c r="E28" s="59">
        <v>46265</v>
      </c>
      <c r="F28" s="59">
        <v>46271</v>
      </c>
      <c r="G28" s="36"/>
      <c r="H28" s="36">
        <f t="shared" si="6"/>
        <v>7</v>
      </c>
      <c r="I28" s="41"/>
      <c r="J28" s="41"/>
      <c r="K28" s="41"/>
      <c r="L28" s="41"/>
      <c r="M28" s="42"/>
      <c r="N28" s="41"/>
      <c r="O28" s="41"/>
      <c r="P28" s="43"/>
      <c r="Q28" s="41"/>
      <c r="R28" s="41"/>
      <c r="S28" s="41"/>
      <c r="T28" s="42"/>
      <c r="U28" s="41"/>
      <c r="V28" s="41"/>
      <c r="W28" s="43"/>
      <c r="X28" s="41"/>
      <c r="Y28" s="41"/>
      <c r="Z28" s="41"/>
      <c r="AA28" s="42"/>
      <c r="AB28" s="41"/>
      <c r="AC28" s="41"/>
      <c r="AD28" s="43"/>
      <c r="AE28" s="41"/>
      <c r="AF28" s="41"/>
      <c r="AG28" s="41"/>
      <c r="AH28" s="42"/>
      <c r="AI28" s="41"/>
      <c r="AJ28" s="41"/>
      <c r="AK28" s="43"/>
      <c r="AL28" s="41"/>
      <c r="AM28" s="41"/>
      <c r="AN28" s="41"/>
      <c r="AO28" s="42"/>
      <c r="AP28" s="41"/>
      <c r="AQ28" s="41"/>
      <c r="AR28" s="43"/>
      <c r="AS28" s="41"/>
      <c r="AT28" s="41"/>
      <c r="AU28" s="41"/>
      <c r="AV28" s="42"/>
      <c r="AW28" s="41"/>
      <c r="AX28" s="41"/>
      <c r="AY28" s="43"/>
      <c r="AZ28" s="41"/>
      <c r="BA28" s="41"/>
      <c r="BB28" s="41"/>
      <c r="BC28" s="42"/>
      <c r="BD28" s="41"/>
      <c r="BE28" s="41"/>
      <c r="BF28" s="43"/>
      <c r="BG28" s="41"/>
      <c r="BH28" s="41"/>
      <c r="BI28" s="41"/>
      <c r="BJ28" s="42"/>
      <c r="BK28" s="41"/>
      <c r="BL28" s="41"/>
    </row>
    <row r="29" spans="1:64" s="3" customFormat="1" ht="31" customHeight="1" thickBot="1" x14ac:dyDescent="0.4">
      <c r="A29" s="14"/>
      <c r="B29" s="68" t="s">
        <v>33</v>
      </c>
      <c r="C29" s="63" t="s">
        <v>13</v>
      </c>
      <c r="D29" s="38">
        <v>1</v>
      </c>
      <c r="E29" s="39">
        <v>46265</v>
      </c>
      <c r="F29" s="39">
        <v>46271</v>
      </c>
      <c r="G29" s="40"/>
      <c r="H29" s="40">
        <f t="shared" si="6"/>
        <v>7</v>
      </c>
      <c r="I29" s="44"/>
      <c r="J29" s="44"/>
      <c r="K29" s="44"/>
      <c r="L29" s="44"/>
      <c r="M29" s="45"/>
      <c r="N29" s="46"/>
      <c r="O29" s="46"/>
      <c r="P29" s="47"/>
      <c r="Q29" s="44"/>
      <c r="R29" s="44"/>
      <c r="S29" s="44"/>
      <c r="T29" s="45"/>
      <c r="U29" s="46"/>
      <c r="V29" s="46"/>
      <c r="W29" s="47"/>
      <c r="X29" s="44"/>
      <c r="Y29" s="44"/>
      <c r="Z29" s="44"/>
      <c r="AA29" s="45"/>
      <c r="AB29" s="46"/>
      <c r="AC29" s="46"/>
      <c r="AD29" s="47"/>
      <c r="AE29" s="44"/>
      <c r="AF29" s="44"/>
      <c r="AG29" s="44"/>
      <c r="AH29" s="45"/>
      <c r="AI29" s="46"/>
      <c r="AJ29" s="46"/>
      <c r="AK29" s="47"/>
      <c r="AL29" s="44"/>
      <c r="AM29" s="44"/>
      <c r="AN29" s="44"/>
      <c r="AO29" s="45"/>
      <c r="AP29" s="46"/>
      <c r="AQ29" s="46"/>
      <c r="AR29" s="47"/>
      <c r="AS29" s="44"/>
      <c r="AT29" s="44"/>
      <c r="AU29" s="44"/>
      <c r="AV29" s="45"/>
      <c r="AW29" s="46"/>
      <c r="AX29" s="46"/>
      <c r="AY29" s="47"/>
      <c r="AZ29" s="44"/>
      <c r="BA29" s="44"/>
      <c r="BB29" s="44"/>
      <c r="BC29" s="45"/>
      <c r="BD29" s="46"/>
      <c r="BE29" s="46"/>
      <c r="BF29" s="47"/>
      <c r="BG29" s="44"/>
      <c r="BH29" s="44"/>
      <c r="BI29" s="44"/>
      <c r="BJ29" s="45"/>
      <c r="BK29" s="46"/>
      <c r="BL29" s="46"/>
    </row>
    <row r="30" spans="1:64" s="3" customFormat="1" ht="31" customHeight="1" thickBot="1" x14ac:dyDescent="0.4">
      <c r="A30" s="14"/>
      <c r="B30" s="69" t="s">
        <v>34</v>
      </c>
      <c r="C30" s="64" t="s">
        <v>28</v>
      </c>
      <c r="D30" s="23">
        <v>1</v>
      </c>
      <c r="E30" s="24">
        <v>46265</v>
      </c>
      <c r="F30" s="24">
        <v>46271</v>
      </c>
      <c r="G30" s="15"/>
      <c r="H30" s="15">
        <f t="shared" si="6"/>
        <v>7</v>
      </c>
      <c r="I30" s="26"/>
      <c r="J30" s="26"/>
      <c r="K30" s="26"/>
      <c r="L30" s="26"/>
      <c r="M30" s="32"/>
      <c r="N30" s="30"/>
      <c r="O30" s="30"/>
      <c r="P30" s="34"/>
      <c r="Q30" s="26"/>
      <c r="R30" s="26"/>
      <c r="S30" s="26"/>
      <c r="T30" s="32"/>
      <c r="U30" s="30"/>
      <c r="V30" s="30"/>
      <c r="W30" s="34"/>
      <c r="X30" s="26"/>
      <c r="Y30" s="26"/>
      <c r="Z30" s="26"/>
      <c r="AA30" s="32"/>
      <c r="AB30" s="30"/>
      <c r="AC30" s="30"/>
      <c r="AD30" s="34"/>
      <c r="AE30" s="26"/>
      <c r="AF30" s="26"/>
      <c r="AG30" s="26"/>
      <c r="AH30" s="32"/>
      <c r="AI30" s="30"/>
      <c r="AJ30" s="30"/>
      <c r="AK30" s="34"/>
      <c r="AL30" s="26"/>
      <c r="AM30" s="26"/>
      <c r="AN30" s="26"/>
      <c r="AO30" s="32"/>
      <c r="AP30" s="30"/>
      <c r="AQ30" s="30"/>
      <c r="AR30" s="34"/>
      <c r="AS30" s="26"/>
      <c r="AT30" s="26"/>
      <c r="AU30" s="26"/>
      <c r="AV30" s="32"/>
      <c r="AW30" s="30"/>
      <c r="AX30" s="30"/>
      <c r="AY30" s="34"/>
      <c r="AZ30" s="26"/>
      <c r="BA30" s="26"/>
      <c r="BB30" s="26"/>
      <c r="BC30" s="32"/>
      <c r="BD30" s="30"/>
      <c r="BE30" s="30"/>
      <c r="BF30" s="34"/>
      <c r="BG30" s="26"/>
      <c r="BH30" s="26"/>
      <c r="BI30" s="26"/>
      <c r="BJ30" s="32"/>
      <c r="BK30" s="30"/>
      <c r="BL30" s="30"/>
    </row>
    <row r="31" spans="1:64" s="3" customFormat="1" ht="31" customHeight="1" thickBot="1" x14ac:dyDescent="0.4">
      <c r="A31" s="14"/>
      <c r="B31" s="72" t="s">
        <v>35</v>
      </c>
      <c r="C31" s="64" t="s">
        <v>28</v>
      </c>
      <c r="D31" s="23">
        <v>1</v>
      </c>
      <c r="E31" s="24">
        <v>46265</v>
      </c>
      <c r="F31" s="24">
        <v>46271</v>
      </c>
      <c r="G31" s="15"/>
      <c r="H31" s="15">
        <f t="shared" si="6"/>
        <v>7</v>
      </c>
      <c r="I31" s="26"/>
      <c r="J31" s="26"/>
      <c r="K31" s="26"/>
      <c r="L31" s="26"/>
      <c r="M31" s="32"/>
      <c r="N31" s="30"/>
      <c r="O31" s="30"/>
      <c r="P31" s="34"/>
      <c r="Q31" s="26"/>
      <c r="R31" s="26"/>
      <c r="S31" s="26"/>
      <c r="T31" s="32"/>
      <c r="U31" s="30"/>
      <c r="V31" s="30"/>
      <c r="W31" s="34"/>
      <c r="X31" s="26"/>
      <c r="Y31" s="26"/>
      <c r="Z31" s="26"/>
      <c r="AA31" s="32"/>
      <c r="AB31" s="30"/>
      <c r="AC31" s="30"/>
      <c r="AD31" s="34"/>
      <c r="AE31" s="26"/>
      <c r="AF31" s="26"/>
      <c r="AG31" s="26"/>
      <c r="AH31" s="32"/>
      <c r="AI31" s="30"/>
      <c r="AJ31" s="30"/>
      <c r="AK31" s="34"/>
      <c r="AL31" s="26"/>
      <c r="AM31" s="26"/>
      <c r="AN31" s="26"/>
      <c r="AO31" s="32"/>
      <c r="AP31" s="30"/>
      <c r="AQ31" s="30"/>
      <c r="AR31" s="34"/>
      <c r="AS31" s="26"/>
      <c r="AT31" s="26"/>
      <c r="AU31" s="26"/>
      <c r="AV31" s="32"/>
      <c r="AW31" s="30"/>
      <c r="AX31" s="30"/>
      <c r="AY31" s="34"/>
      <c r="AZ31" s="26"/>
      <c r="BA31" s="26"/>
      <c r="BB31" s="26"/>
      <c r="BC31" s="32"/>
      <c r="BD31" s="30"/>
      <c r="BE31" s="30"/>
      <c r="BF31" s="34"/>
      <c r="BG31" s="26"/>
      <c r="BH31" s="26"/>
      <c r="BI31" s="26"/>
      <c r="BJ31" s="32"/>
      <c r="BK31" s="30"/>
      <c r="BL31" s="30"/>
    </row>
    <row r="32" spans="1:64" s="3" customFormat="1" ht="31" customHeight="1" thickBot="1" x14ac:dyDescent="0.4">
      <c r="A32" s="14"/>
      <c r="B32" s="69" t="s">
        <v>36</v>
      </c>
      <c r="C32" s="64" t="s">
        <v>37</v>
      </c>
      <c r="D32" s="23">
        <v>1</v>
      </c>
      <c r="E32" s="24">
        <v>46265</v>
      </c>
      <c r="F32" s="24">
        <v>46271</v>
      </c>
      <c r="G32" s="15"/>
      <c r="H32" s="15">
        <f t="shared" si="6"/>
        <v>7</v>
      </c>
      <c r="I32" s="26"/>
      <c r="J32" s="26"/>
      <c r="K32" s="26"/>
      <c r="L32" s="26"/>
      <c r="M32" s="32"/>
      <c r="N32" s="30"/>
      <c r="O32" s="30"/>
      <c r="P32" s="34"/>
      <c r="Q32" s="26"/>
      <c r="R32" s="26"/>
      <c r="S32" s="26"/>
      <c r="T32" s="32"/>
      <c r="U32" s="30"/>
      <c r="V32" s="30"/>
      <c r="W32" s="34"/>
      <c r="X32" s="26"/>
      <c r="Y32" s="26"/>
      <c r="Z32" s="26"/>
      <c r="AA32" s="32"/>
      <c r="AB32" s="30"/>
      <c r="AC32" s="30"/>
      <c r="AD32" s="34"/>
      <c r="AE32" s="26"/>
      <c r="AF32" s="26"/>
      <c r="AG32" s="26"/>
      <c r="AH32" s="32"/>
      <c r="AI32" s="30"/>
      <c r="AJ32" s="30"/>
      <c r="AK32" s="34"/>
      <c r="AL32" s="26"/>
      <c r="AM32" s="26"/>
      <c r="AN32" s="26"/>
      <c r="AO32" s="32"/>
      <c r="AP32" s="30"/>
      <c r="AQ32" s="30"/>
      <c r="AR32" s="34"/>
      <c r="AS32" s="26"/>
      <c r="AT32" s="26"/>
      <c r="AU32" s="26"/>
      <c r="AV32" s="32"/>
      <c r="AW32" s="30"/>
      <c r="AX32" s="30"/>
      <c r="AY32" s="34"/>
      <c r="AZ32" s="26"/>
      <c r="BA32" s="26"/>
      <c r="BB32" s="26"/>
      <c r="BC32" s="32"/>
      <c r="BD32" s="30"/>
      <c r="BE32" s="30"/>
      <c r="BF32" s="34"/>
      <c r="BG32" s="26"/>
      <c r="BH32" s="26"/>
      <c r="BI32" s="26"/>
      <c r="BJ32" s="32"/>
      <c r="BK32" s="30"/>
      <c r="BL32" s="30"/>
    </row>
    <row r="33" spans="1:64" s="3" customFormat="1" ht="31" customHeight="1" thickBot="1" x14ac:dyDescent="0.4">
      <c r="A33" s="14"/>
      <c r="B33" s="69" t="s">
        <v>54</v>
      </c>
      <c r="C33" s="64" t="s">
        <v>30</v>
      </c>
      <c r="D33" s="23">
        <v>1</v>
      </c>
      <c r="E33" s="24">
        <v>46265</v>
      </c>
      <c r="F33" s="24">
        <v>46271</v>
      </c>
      <c r="G33" s="15"/>
      <c r="H33" s="15">
        <f t="shared" si="6"/>
        <v>7</v>
      </c>
      <c r="I33" s="26"/>
      <c r="J33" s="26"/>
      <c r="K33" s="26"/>
      <c r="L33" s="26"/>
      <c r="M33" s="32"/>
      <c r="N33" s="30"/>
      <c r="O33" s="30"/>
      <c r="P33" s="34"/>
      <c r="Q33" s="26"/>
      <c r="R33" s="26"/>
      <c r="S33" s="26"/>
      <c r="T33" s="32"/>
      <c r="U33" s="30"/>
      <c r="V33" s="30"/>
      <c r="W33" s="34"/>
      <c r="X33" s="26"/>
      <c r="Y33" s="26"/>
      <c r="Z33" s="26"/>
      <c r="AA33" s="32"/>
      <c r="AB33" s="30"/>
      <c r="AC33" s="30"/>
      <c r="AD33" s="34"/>
      <c r="AE33" s="26"/>
      <c r="AF33" s="26"/>
      <c r="AG33" s="26"/>
      <c r="AH33" s="32"/>
      <c r="AI33" s="30"/>
      <c r="AJ33" s="30"/>
      <c r="AK33" s="34"/>
      <c r="AL33" s="26"/>
      <c r="AM33" s="26"/>
      <c r="AN33" s="26"/>
      <c r="AO33" s="32"/>
      <c r="AP33" s="30"/>
      <c r="AQ33" s="30"/>
      <c r="AR33" s="34"/>
      <c r="AS33" s="26"/>
      <c r="AT33" s="26"/>
      <c r="AU33" s="26"/>
      <c r="AV33" s="32"/>
      <c r="AW33" s="30"/>
      <c r="AX33" s="30"/>
      <c r="AY33" s="34"/>
      <c r="AZ33" s="26"/>
      <c r="BA33" s="26"/>
      <c r="BB33" s="26"/>
      <c r="BC33" s="32"/>
      <c r="BD33" s="30"/>
      <c r="BE33" s="30"/>
      <c r="BF33" s="34"/>
      <c r="BG33" s="26"/>
      <c r="BH33" s="26"/>
      <c r="BI33" s="26"/>
      <c r="BJ33" s="32"/>
      <c r="BK33" s="30"/>
      <c r="BL33" s="30"/>
    </row>
    <row r="34" spans="1:64" s="3" customFormat="1" ht="31" customHeight="1" thickBot="1" x14ac:dyDescent="0.4">
      <c r="A34" s="14"/>
      <c r="B34" s="70" t="s">
        <v>55</v>
      </c>
      <c r="C34" s="65" t="s">
        <v>37</v>
      </c>
      <c r="D34" s="48">
        <v>1</v>
      </c>
      <c r="E34" s="49">
        <v>46265</v>
      </c>
      <c r="F34" s="49">
        <v>46271</v>
      </c>
      <c r="G34" s="37"/>
      <c r="H34" s="37">
        <f t="shared" si="6"/>
        <v>7</v>
      </c>
      <c r="I34" s="50"/>
      <c r="J34" s="50"/>
      <c r="K34" s="50"/>
      <c r="L34" s="50"/>
      <c r="M34" s="51"/>
      <c r="N34" s="52"/>
      <c r="O34" s="52"/>
      <c r="P34" s="53"/>
      <c r="Q34" s="50"/>
      <c r="R34" s="50"/>
      <c r="S34" s="50"/>
      <c r="T34" s="51"/>
      <c r="U34" s="52"/>
      <c r="V34" s="52"/>
      <c r="W34" s="53"/>
      <c r="X34" s="50"/>
      <c r="Y34" s="50"/>
      <c r="Z34" s="50"/>
      <c r="AA34" s="51"/>
      <c r="AB34" s="52"/>
      <c r="AC34" s="52"/>
      <c r="AD34" s="53"/>
      <c r="AE34" s="50"/>
      <c r="AF34" s="50"/>
      <c r="AG34" s="50"/>
      <c r="AH34" s="51"/>
      <c r="AI34" s="52"/>
      <c r="AJ34" s="52"/>
      <c r="AK34" s="53"/>
      <c r="AL34" s="50"/>
      <c r="AM34" s="50"/>
      <c r="AN34" s="50"/>
      <c r="AO34" s="51"/>
      <c r="AP34" s="52"/>
      <c r="AQ34" s="52"/>
      <c r="AR34" s="53"/>
      <c r="AS34" s="50"/>
      <c r="AT34" s="50"/>
      <c r="AU34" s="50"/>
      <c r="AV34" s="51"/>
      <c r="AW34" s="52"/>
      <c r="AX34" s="52"/>
      <c r="AY34" s="53"/>
      <c r="AZ34" s="50"/>
      <c r="BA34" s="50"/>
      <c r="BB34" s="50"/>
      <c r="BC34" s="51"/>
      <c r="BD34" s="52"/>
      <c r="BE34" s="52"/>
      <c r="BF34" s="53"/>
      <c r="BG34" s="50"/>
      <c r="BH34" s="50"/>
      <c r="BI34" s="50"/>
      <c r="BJ34" s="51"/>
      <c r="BK34" s="52"/>
      <c r="BL34" s="52"/>
    </row>
    <row r="35" spans="1:64" s="3" customFormat="1" ht="25" customHeight="1" thickBot="1" x14ac:dyDescent="0.4">
      <c r="A35" s="14"/>
      <c r="B35" s="71" t="s">
        <v>38</v>
      </c>
      <c r="C35" s="62"/>
      <c r="D35" s="58">
        <v>1</v>
      </c>
      <c r="E35" s="59">
        <v>46272</v>
      </c>
      <c r="F35" s="59">
        <v>46278</v>
      </c>
      <c r="G35" s="36"/>
      <c r="H35" s="36">
        <f t="shared" si="6"/>
        <v>7</v>
      </c>
      <c r="I35" s="41"/>
      <c r="J35" s="41"/>
      <c r="K35" s="41"/>
      <c r="L35" s="41"/>
      <c r="M35" s="42"/>
      <c r="N35" s="41"/>
      <c r="O35" s="41"/>
      <c r="P35" s="43"/>
      <c r="Q35" s="41"/>
      <c r="R35" s="41"/>
      <c r="S35" s="41"/>
      <c r="T35" s="42"/>
      <c r="U35" s="41"/>
      <c r="V35" s="41"/>
      <c r="W35" s="43"/>
      <c r="X35" s="41"/>
      <c r="Y35" s="41"/>
      <c r="Z35" s="41"/>
      <c r="AA35" s="42"/>
      <c r="AB35" s="41"/>
      <c r="AC35" s="41"/>
      <c r="AD35" s="43"/>
      <c r="AE35" s="41"/>
      <c r="AF35" s="41"/>
      <c r="AG35" s="41"/>
      <c r="AH35" s="42"/>
      <c r="AI35" s="41"/>
      <c r="AJ35" s="41"/>
      <c r="AK35" s="43"/>
      <c r="AL35" s="41"/>
      <c r="AM35" s="41"/>
      <c r="AN35" s="41"/>
      <c r="AO35" s="42"/>
      <c r="AP35" s="41"/>
      <c r="AQ35" s="41"/>
      <c r="AR35" s="43"/>
      <c r="AS35" s="41"/>
      <c r="AT35" s="41"/>
      <c r="AU35" s="41"/>
      <c r="AV35" s="42"/>
      <c r="AW35" s="41"/>
      <c r="AX35" s="41"/>
      <c r="AY35" s="43"/>
      <c r="AZ35" s="41"/>
      <c r="BA35" s="41"/>
      <c r="BB35" s="41"/>
      <c r="BC35" s="42"/>
      <c r="BD35" s="41"/>
      <c r="BE35" s="41"/>
      <c r="BF35" s="43"/>
      <c r="BG35" s="41"/>
      <c r="BH35" s="41"/>
      <c r="BI35" s="41"/>
      <c r="BJ35" s="42"/>
      <c r="BK35" s="41"/>
      <c r="BL35" s="41"/>
    </row>
    <row r="36" spans="1:64" s="3" customFormat="1" ht="31" customHeight="1" thickBot="1" x14ac:dyDescent="0.4">
      <c r="A36" s="14"/>
      <c r="B36" s="68" t="s">
        <v>56</v>
      </c>
      <c r="C36" s="63" t="s">
        <v>13</v>
      </c>
      <c r="D36" s="38">
        <v>1</v>
      </c>
      <c r="E36" s="39">
        <v>46272</v>
      </c>
      <c r="F36" s="39">
        <v>46278</v>
      </c>
      <c r="G36" s="40"/>
      <c r="H36" s="40">
        <f t="shared" si="6"/>
        <v>7</v>
      </c>
      <c r="I36" s="44"/>
      <c r="J36" s="44"/>
      <c r="K36" s="44"/>
      <c r="L36" s="44"/>
      <c r="M36" s="45"/>
      <c r="N36" s="46"/>
      <c r="O36" s="46"/>
      <c r="P36" s="47"/>
      <c r="Q36" s="44"/>
      <c r="R36" s="44"/>
      <c r="S36" s="44"/>
      <c r="T36" s="45"/>
      <c r="U36" s="46"/>
      <c r="V36" s="46"/>
      <c r="W36" s="47"/>
      <c r="X36" s="44"/>
      <c r="Y36" s="44"/>
      <c r="Z36" s="44"/>
      <c r="AA36" s="45"/>
      <c r="AB36" s="46"/>
      <c r="AC36" s="46"/>
      <c r="AD36" s="47"/>
      <c r="AE36" s="44"/>
      <c r="AF36" s="44"/>
      <c r="AG36" s="44"/>
      <c r="AH36" s="45"/>
      <c r="AI36" s="46"/>
      <c r="AJ36" s="46"/>
      <c r="AK36" s="47"/>
      <c r="AL36" s="44"/>
      <c r="AM36" s="44"/>
      <c r="AN36" s="44"/>
      <c r="AO36" s="45"/>
      <c r="AP36" s="46"/>
      <c r="AQ36" s="46"/>
      <c r="AR36" s="47"/>
      <c r="AS36" s="44"/>
      <c r="AT36" s="44"/>
      <c r="AU36" s="44"/>
      <c r="AV36" s="45"/>
      <c r="AW36" s="46"/>
      <c r="AX36" s="46"/>
      <c r="AY36" s="47"/>
      <c r="AZ36" s="44"/>
      <c r="BA36" s="44"/>
      <c r="BB36" s="44"/>
      <c r="BC36" s="45"/>
      <c r="BD36" s="46"/>
      <c r="BE36" s="46"/>
      <c r="BF36" s="47"/>
      <c r="BG36" s="44"/>
      <c r="BH36" s="44"/>
      <c r="BI36" s="44"/>
      <c r="BJ36" s="45"/>
      <c r="BK36" s="46"/>
      <c r="BL36" s="46"/>
    </row>
    <row r="37" spans="1:64" s="3" customFormat="1" ht="31" customHeight="1" thickBot="1" x14ac:dyDescent="0.4">
      <c r="A37" s="14"/>
      <c r="B37" s="72" t="s">
        <v>57</v>
      </c>
      <c r="C37" s="64" t="s">
        <v>37</v>
      </c>
      <c r="D37" s="38">
        <v>1</v>
      </c>
      <c r="E37" s="24">
        <v>46272</v>
      </c>
      <c r="F37" s="24">
        <v>46278</v>
      </c>
      <c r="G37" s="15"/>
      <c r="H37" s="15">
        <f t="shared" si="6"/>
        <v>7</v>
      </c>
      <c r="I37" s="26"/>
      <c r="J37" s="26"/>
      <c r="K37" s="26"/>
      <c r="L37" s="26"/>
      <c r="M37" s="32"/>
      <c r="N37" s="30"/>
      <c r="O37" s="30"/>
      <c r="P37" s="34"/>
      <c r="Q37" s="26"/>
      <c r="R37" s="26"/>
      <c r="S37" s="26"/>
      <c r="T37" s="32"/>
      <c r="U37" s="30"/>
      <c r="V37" s="30"/>
      <c r="W37" s="34"/>
      <c r="X37" s="26"/>
      <c r="Y37" s="26"/>
      <c r="Z37" s="26"/>
      <c r="AA37" s="32"/>
      <c r="AB37" s="30"/>
      <c r="AC37" s="30"/>
      <c r="AD37" s="34"/>
      <c r="AE37" s="26"/>
      <c r="AF37" s="26"/>
      <c r="AG37" s="26"/>
      <c r="AH37" s="32"/>
      <c r="AI37" s="30"/>
      <c r="AJ37" s="30"/>
      <c r="AK37" s="34"/>
      <c r="AL37" s="26"/>
      <c r="AM37" s="26"/>
      <c r="AN37" s="26"/>
      <c r="AO37" s="32"/>
      <c r="AP37" s="30"/>
      <c r="AQ37" s="30"/>
      <c r="AR37" s="34"/>
      <c r="AS37" s="26"/>
      <c r="AT37" s="26"/>
      <c r="AU37" s="26"/>
      <c r="AV37" s="32"/>
      <c r="AW37" s="30"/>
      <c r="AX37" s="30"/>
      <c r="AY37" s="34"/>
      <c r="AZ37" s="26"/>
      <c r="BA37" s="26"/>
      <c r="BB37" s="26"/>
      <c r="BC37" s="32"/>
      <c r="BD37" s="30"/>
      <c r="BE37" s="30"/>
      <c r="BF37" s="34"/>
      <c r="BG37" s="26"/>
      <c r="BH37" s="26"/>
      <c r="BI37" s="26"/>
      <c r="BJ37" s="32"/>
      <c r="BK37" s="30"/>
      <c r="BL37" s="30"/>
    </row>
    <row r="38" spans="1:64" s="3" customFormat="1" ht="31" customHeight="1" thickBot="1" x14ac:dyDescent="0.4">
      <c r="A38" s="14"/>
      <c r="B38" s="72" t="s">
        <v>58</v>
      </c>
      <c r="C38" s="64" t="s">
        <v>13</v>
      </c>
      <c r="D38" s="38">
        <v>1</v>
      </c>
      <c r="E38" s="24">
        <v>46272</v>
      </c>
      <c r="F38" s="24">
        <v>46278</v>
      </c>
      <c r="G38" s="15"/>
      <c r="H38" s="15">
        <f t="shared" si="6"/>
        <v>7</v>
      </c>
      <c r="I38" s="26"/>
      <c r="J38" s="26"/>
      <c r="K38" s="26"/>
      <c r="L38" s="26"/>
      <c r="M38" s="32"/>
      <c r="N38" s="30"/>
      <c r="O38" s="30"/>
      <c r="P38" s="34"/>
      <c r="Q38" s="26"/>
      <c r="R38" s="26"/>
      <c r="S38" s="26"/>
      <c r="T38" s="32"/>
      <c r="U38" s="30"/>
      <c r="V38" s="30"/>
      <c r="W38" s="34"/>
      <c r="X38" s="26"/>
      <c r="Y38" s="26"/>
      <c r="Z38" s="26"/>
      <c r="AA38" s="32"/>
      <c r="AB38" s="30"/>
      <c r="AC38" s="30"/>
      <c r="AD38" s="34"/>
      <c r="AE38" s="26"/>
      <c r="AF38" s="26"/>
      <c r="AG38" s="26"/>
      <c r="AH38" s="32"/>
      <c r="AI38" s="30"/>
      <c r="AJ38" s="30"/>
      <c r="AK38" s="34"/>
      <c r="AL38" s="26"/>
      <c r="AM38" s="26"/>
      <c r="AN38" s="26"/>
      <c r="AO38" s="32"/>
      <c r="AP38" s="30"/>
      <c r="AQ38" s="30"/>
      <c r="AR38" s="34"/>
      <c r="AS38" s="26"/>
      <c r="AT38" s="26"/>
      <c r="AU38" s="26"/>
      <c r="AV38" s="32"/>
      <c r="AW38" s="30"/>
      <c r="AX38" s="30"/>
      <c r="AY38" s="34"/>
      <c r="AZ38" s="26"/>
      <c r="BA38" s="26"/>
      <c r="BB38" s="26"/>
      <c r="BC38" s="32"/>
      <c r="BD38" s="30"/>
      <c r="BE38" s="30"/>
      <c r="BF38" s="34"/>
      <c r="BG38" s="26"/>
      <c r="BH38" s="26"/>
      <c r="BI38" s="26"/>
      <c r="BJ38" s="32"/>
      <c r="BK38" s="30"/>
      <c r="BL38" s="30"/>
    </row>
    <row r="39" spans="1:64" s="3" customFormat="1" ht="31" customHeight="1" thickBot="1" x14ac:dyDescent="0.4">
      <c r="A39" s="14"/>
      <c r="B39" s="72" t="s">
        <v>59</v>
      </c>
      <c r="C39" s="64" t="s">
        <v>37</v>
      </c>
      <c r="D39" s="38">
        <v>1</v>
      </c>
      <c r="E39" s="24">
        <v>46272</v>
      </c>
      <c r="F39" s="24">
        <v>46278</v>
      </c>
      <c r="G39" s="15"/>
      <c r="H39" s="15">
        <f t="shared" si="6"/>
        <v>7</v>
      </c>
      <c r="I39" s="26"/>
      <c r="J39" s="26"/>
      <c r="K39" s="26"/>
      <c r="L39" s="26"/>
      <c r="M39" s="32"/>
      <c r="N39" s="30"/>
      <c r="O39" s="30"/>
      <c r="P39" s="34"/>
      <c r="Q39" s="26"/>
      <c r="R39" s="26"/>
      <c r="S39" s="26"/>
      <c r="T39" s="32"/>
      <c r="U39" s="30"/>
      <c r="V39" s="30"/>
      <c r="W39" s="34"/>
      <c r="X39" s="26"/>
      <c r="Y39" s="26"/>
      <c r="Z39" s="26"/>
      <c r="AA39" s="32"/>
      <c r="AB39" s="30"/>
      <c r="AC39" s="30"/>
      <c r="AD39" s="34"/>
      <c r="AE39" s="26"/>
      <c r="AF39" s="26"/>
      <c r="AG39" s="26"/>
      <c r="AH39" s="32"/>
      <c r="AI39" s="30"/>
      <c r="AJ39" s="30"/>
      <c r="AK39" s="34"/>
      <c r="AL39" s="26"/>
      <c r="AM39" s="26"/>
      <c r="AN39" s="26"/>
      <c r="AO39" s="32"/>
      <c r="AP39" s="30"/>
      <c r="AQ39" s="30"/>
      <c r="AR39" s="34"/>
      <c r="AS39" s="26"/>
      <c r="AT39" s="26"/>
      <c r="AU39" s="26"/>
      <c r="AV39" s="32"/>
      <c r="AW39" s="30"/>
      <c r="AX39" s="30"/>
      <c r="AY39" s="34"/>
      <c r="AZ39" s="26"/>
      <c r="BA39" s="26"/>
      <c r="BB39" s="26"/>
      <c r="BC39" s="32"/>
      <c r="BD39" s="30"/>
      <c r="BE39" s="30"/>
      <c r="BF39" s="34"/>
      <c r="BG39" s="26"/>
      <c r="BH39" s="26"/>
      <c r="BI39" s="26"/>
      <c r="BJ39" s="32"/>
      <c r="BK39" s="30"/>
      <c r="BL39" s="30"/>
    </row>
    <row r="40" spans="1:64" s="3" customFormat="1" ht="31" customHeight="1" thickBot="1" x14ac:dyDescent="0.4">
      <c r="A40" s="14"/>
      <c r="B40" s="72" t="s">
        <v>60</v>
      </c>
      <c r="C40" s="64" t="s">
        <v>30</v>
      </c>
      <c r="D40" s="38">
        <v>1</v>
      </c>
      <c r="E40" s="24">
        <v>46272</v>
      </c>
      <c r="F40" s="24">
        <v>46278</v>
      </c>
      <c r="G40" s="15"/>
      <c r="H40" s="15">
        <f t="shared" si="6"/>
        <v>7</v>
      </c>
      <c r="I40" s="26"/>
      <c r="J40" s="26"/>
      <c r="K40" s="26"/>
      <c r="L40" s="26"/>
      <c r="M40" s="32"/>
      <c r="N40" s="30"/>
      <c r="O40" s="30"/>
      <c r="P40" s="34"/>
      <c r="Q40" s="26"/>
      <c r="R40" s="26"/>
      <c r="S40" s="26"/>
      <c r="T40" s="32"/>
      <c r="U40" s="30"/>
      <c r="V40" s="30"/>
      <c r="W40" s="34"/>
      <c r="X40" s="26"/>
      <c r="Y40" s="26"/>
      <c r="Z40" s="26"/>
      <c r="AA40" s="32"/>
      <c r="AB40" s="30"/>
      <c r="AC40" s="30"/>
      <c r="AD40" s="34"/>
      <c r="AE40" s="26"/>
      <c r="AF40" s="26"/>
      <c r="AG40" s="26"/>
      <c r="AH40" s="32"/>
      <c r="AI40" s="30"/>
      <c r="AJ40" s="30"/>
      <c r="AK40" s="34"/>
      <c r="AL40" s="26"/>
      <c r="AM40" s="26"/>
      <c r="AN40" s="26"/>
      <c r="AO40" s="32"/>
      <c r="AP40" s="30"/>
      <c r="AQ40" s="30"/>
      <c r="AR40" s="34"/>
      <c r="AS40" s="26"/>
      <c r="AT40" s="26"/>
      <c r="AU40" s="26"/>
      <c r="AV40" s="32"/>
      <c r="AW40" s="30"/>
      <c r="AX40" s="30"/>
      <c r="AY40" s="34"/>
      <c r="AZ40" s="26"/>
      <c r="BA40" s="26"/>
      <c r="BB40" s="26"/>
      <c r="BC40" s="32"/>
      <c r="BD40" s="30"/>
      <c r="BE40" s="30"/>
      <c r="BF40" s="34"/>
      <c r="BG40" s="26"/>
      <c r="BH40" s="26"/>
      <c r="BI40" s="26"/>
      <c r="BJ40" s="32"/>
      <c r="BK40" s="30"/>
      <c r="BL40" s="30"/>
    </row>
    <row r="41" spans="1:64" s="3" customFormat="1" ht="31" customHeight="1" thickBot="1" x14ac:dyDescent="0.4">
      <c r="A41" s="14"/>
      <c r="B41" s="72" t="s">
        <v>61</v>
      </c>
      <c r="C41" s="64" t="s">
        <v>13</v>
      </c>
      <c r="D41" s="38">
        <v>1</v>
      </c>
      <c r="E41" s="24">
        <v>46272</v>
      </c>
      <c r="F41" s="24">
        <v>46278</v>
      </c>
      <c r="G41" s="15"/>
      <c r="H41" s="15">
        <f t="shared" si="6"/>
        <v>7</v>
      </c>
      <c r="I41" s="26"/>
      <c r="J41" s="26"/>
      <c r="K41" s="26"/>
      <c r="L41" s="26"/>
      <c r="M41" s="32"/>
      <c r="N41" s="30"/>
      <c r="O41" s="30"/>
      <c r="P41" s="34"/>
      <c r="Q41" s="26"/>
      <c r="R41" s="26"/>
      <c r="S41" s="26"/>
      <c r="T41" s="32"/>
      <c r="U41" s="30"/>
      <c r="V41" s="30"/>
      <c r="W41" s="34"/>
      <c r="X41" s="26"/>
      <c r="Y41" s="26"/>
      <c r="Z41" s="26"/>
      <c r="AA41" s="32"/>
      <c r="AB41" s="30"/>
      <c r="AC41" s="30"/>
      <c r="AD41" s="34"/>
      <c r="AE41" s="26"/>
      <c r="AF41" s="26"/>
      <c r="AG41" s="26"/>
      <c r="AH41" s="32"/>
      <c r="AI41" s="30"/>
      <c r="AJ41" s="30"/>
      <c r="AK41" s="34"/>
      <c r="AL41" s="26"/>
      <c r="AM41" s="26"/>
      <c r="AN41" s="26"/>
      <c r="AO41" s="32"/>
      <c r="AP41" s="30"/>
      <c r="AQ41" s="30"/>
      <c r="AR41" s="34"/>
      <c r="AS41" s="26"/>
      <c r="AT41" s="26"/>
      <c r="AU41" s="26"/>
      <c r="AV41" s="32"/>
      <c r="AW41" s="30"/>
      <c r="AX41" s="30"/>
      <c r="AY41" s="34"/>
      <c r="AZ41" s="26"/>
      <c r="BA41" s="26"/>
      <c r="BB41" s="26"/>
      <c r="BC41" s="32"/>
      <c r="BD41" s="30"/>
      <c r="BE41" s="30"/>
      <c r="BF41" s="34"/>
      <c r="BG41" s="26"/>
      <c r="BH41" s="26"/>
      <c r="BI41" s="26"/>
      <c r="BJ41" s="32"/>
      <c r="BK41" s="30"/>
      <c r="BL41" s="30"/>
    </row>
    <row r="42" spans="1:64" s="3" customFormat="1" ht="31" customHeight="1" thickBot="1" x14ac:dyDescent="0.4">
      <c r="A42" s="14"/>
      <c r="B42" s="72" t="s">
        <v>39</v>
      </c>
      <c r="C42" s="64" t="s">
        <v>37</v>
      </c>
      <c r="D42" s="38">
        <v>1</v>
      </c>
      <c r="E42" s="24">
        <v>46272</v>
      </c>
      <c r="F42" s="24">
        <v>46278</v>
      </c>
      <c r="G42" s="15"/>
      <c r="H42" s="15">
        <f t="shared" si="6"/>
        <v>7</v>
      </c>
      <c r="I42" s="26"/>
      <c r="J42" s="26"/>
      <c r="K42" s="26"/>
      <c r="L42" s="26"/>
      <c r="M42" s="32"/>
      <c r="N42" s="30"/>
      <c r="O42" s="30"/>
      <c r="P42" s="34"/>
      <c r="Q42" s="26"/>
      <c r="R42" s="26"/>
      <c r="S42" s="26"/>
      <c r="T42" s="32"/>
      <c r="U42" s="30"/>
      <c r="V42" s="30"/>
      <c r="W42" s="34"/>
      <c r="X42" s="26"/>
      <c r="Y42" s="26"/>
      <c r="Z42" s="26"/>
      <c r="AA42" s="32"/>
      <c r="AB42" s="30"/>
      <c r="AC42" s="30"/>
      <c r="AD42" s="34"/>
      <c r="AE42" s="26"/>
      <c r="AF42" s="26"/>
      <c r="AG42" s="26"/>
      <c r="AH42" s="32"/>
      <c r="AI42" s="30"/>
      <c r="AJ42" s="30"/>
      <c r="AK42" s="34"/>
      <c r="AL42" s="26"/>
      <c r="AM42" s="26"/>
      <c r="AN42" s="26"/>
      <c r="AO42" s="32"/>
      <c r="AP42" s="30"/>
      <c r="AQ42" s="30"/>
      <c r="AR42" s="34"/>
      <c r="AS42" s="26"/>
      <c r="AT42" s="26"/>
      <c r="AU42" s="26"/>
      <c r="AV42" s="32"/>
      <c r="AW42" s="30"/>
      <c r="AX42" s="30"/>
      <c r="AY42" s="34"/>
      <c r="AZ42" s="26"/>
      <c r="BA42" s="26"/>
      <c r="BB42" s="26"/>
      <c r="BC42" s="32"/>
      <c r="BD42" s="30"/>
      <c r="BE42" s="30"/>
      <c r="BF42" s="34"/>
      <c r="BG42" s="26"/>
      <c r="BH42" s="26"/>
      <c r="BI42" s="26"/>
      <c r="BJ42" s="32"/>
      <c r="BK42" s="30"/>
      <c r="BL42" s="30"/>
    </row>
    <row r="43" spans="1:64" s="3" customFormat="1" ht="31" customHeight="1" thickBot="1" x14ac:dyDescent="0.4">
      <c r="A43" s="14"/>
      <c r="B43" s="73" t="s">
        <v>40</v>
      </c>
      <c r="C43" s="66" t="s">
        <v>13</v>
      </c>
      <c r="D43" s="38">
        <v>1</v>
      </c>
      <c r="E43" s="25">
        <v>46272</v>
      </c>
      <c r="F43" s="25">
        <v>46278</v>
      </c>
      <c r="G43" s="15"/>
      <c r="H43" s="15">
        <f t="shared" si="6"/>
        <v>7</v>
      </c>
      <c r="I43" s="27"/>
      <c r="J43" s="27"/>
      <c r="K43" s="27"/>
      <c r="L43" s="27"/>
      <c r="M43" s="33"/>
      <c r="N43" s="31"/>
      <c r="O43" s="31"/>
      <c r="P43" s="35"/>
      <c r="Q43" s="27"/>
      <c r="R43" s="27"/>
      <c r="S43" s="27"/>
      <c r="T43" s="33"/>
      <c r="U43" s="31"/>
      <c r="V43" s="31"/>
      <c r="W43" s="35"/>
      <c r="X43" s="27"/>
      <c r="Y43" s="27"/>
      <c r="Z43" s="27"/>
      <c r="AA43" s="33"/>
      <c r="AB43" s="31"/>
      <c r="AC43" s="31"/>
      <c r="AD43" s="35"/>
      <c r="AE43" s="27"/>
      <c r="AF43" s="27"/>
      <c r="AG43" s="27"/>
      <c r="AH43" s="33"/>
      <c r="AI43" s="31"/>
      <c r="AJ43" s="31"/>
      <c r="AK43" s="35"/>
      <c r="AL43" s="27"/>
      <c r="AM43" s="27"/>
      <c r="AN43" s="27"/>
      <c r="AO43" s="33"/>
      <c r="AP43" s="31"/>
      <c r="AQ43" s="31"/>
      <c r="AR43" s="35"/>
      <c r="AS43" s="27"/>
      <c r="AT43" s="27"/>
      <c r="AU43" s="27"/>
      <c r="AV43" s="33"/>
      <c r="AW43" s="31"/>
      <c r="AX43" s="31"/>
      <c r="AY43" s="35"/>
      <c r="AZ43" s="27"/>
      <c r="BA43" s="27"/>
      <c r="BB43" s="27"/>
      <c r="BC43" s="33"/>
      <c r="BD43" s="31"/>
      <c r="BE43" s="31"/>
      <c r="BF43" s="35"/>
      <c r="BG43" s="27"/>
      <c r="BH43" s="27"/>
      <c r="BI43" s="27"/>
      <c r="BJ43" s="33"/>
      <c r="BK43" s="31"/>
      <c r="BL43" s="31"/>
    </row>
    <row r="44" spans="1:64" x14ac:dyDescent="0.35">
      <c r="E44"/>
    </row>
    <row r="45" spans="1:64" x14ac:dyDescent="0.35">
      <c r="E45"/>
    </row>
    <row r="46" spans="1:64" x14ac:dyDescent="0.35">
      <c r="E46"/>
    </row>
  </sheetData>
  <mergeCells count="13">
    <mergeCell ref="AY4:BE4"/>
    <mergeCell ref="BF4:BL4"/>
    <mergeCell ref="E2:F2"/>
    <mergeCell ref="I4:O4"/>
    <mergeCell ref="P4:V4"/>
    <mergeCell ref="W4:AC4"/>
    <mergeCell ref="AD4:AJ4"/>
    <mergeCell ref="E3:F3"/>
    <mergeCell ref="B2:C2"/>
    <mergeCell ref="B3:C4"/>
    <mergeCell ref="J1:AA1"/>
    <mergeCell ref="AK4:AQ4"/>
    <mergeCell ref="AR4:AX4"/>
  </mergeCells>
  <conditionalFormatting sqref="D7:D43">
    <cfRule type="dataBar" priority="1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I5:BL43">
    <cfRule type="expression" dxfId="2" priority="27">
      <formula>AND(today&gt;=I$5,today&lt;I$5+1)</formula>
    </cfRule>
  </conditionalFormatting>
  <conditionalFormatting sqref="I7:BL43">
    <cfRule type="expression" dxfId="1" priority="25">
      <formula>AND(task_start&lt;=I$5,ROUNDDOWN((task_end-task_start+1)*task_progress,0)+task_start-1&gt;=I$5)</formula>
    </cfRule>
    <cfRule type="expression" dxfId="0" priority="26" stopIfTrue="1">
      <formula>AND(task_end&gt;=I$5,task_start&lt;I$5+1)</formula>
    </cfRule>
  </conditionalFormatting>
  <pageMargins left="0.35" right="0.35" top="0.35" bottom="0.5" header="0.3" footer="0.3"/>
  <pageSetup scale="47" fitToHeight="0" orientation="landscape" r:id="rId1"/>
  <headerFooter scaleWithDoc="0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D7:D43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2"/>
  <sheetViews>
    <sheetView showGridLines="0" zoomScaleNormal="100" workbookViewId="0"/>
  </sheetViews>
  <sheetFormatPr defaultColWidth="9.1796875" defaultRowHeight="13" x14ac:dyDescent="0.3"/>
  <cols>
    <col min="1" max="1" width="2.81640625" style="2" customWidth="1"/>
    <col min="2" max="2" width="94.54296875" style="16" customWidth="1"/>
    <col min="3" max="16384" width="9.1796875" style="2"/>
  </cols>
  <sheetData>
    <row r="1" spans="2:3" ht="46.5" customHeight="1" x14ac:dyDescent="0.3"/>
    <row r="2" spans="2:3" s="18" customFormat="1" ht="28" customHeight="1" x14ac:dyDescent="0.55000000000000004">
      <c r="B2" s="54" t="s">
        <v>41</v>
      </c>
      <c r="C2" s="17"/>
    </row>
    <row r="3" spans="2:3" s="20" customFormat="1" ht="13.5" customHeight="1" x14ac:dyDescent="0.35">
      <c r="B3" s="55" t="s">
        <v>42</v>
      </c>
      <c r="C3" s="19"/>
    </row>
    <row r="4" spans="2:3" ht="14.5" x14ac:dyDescent="0.35">
      <c r="B4" s="28"/>
    </row>
    <row r="5" spans="2:3" ht="14.5" x14ac:dyDescent="0.35">
      <c r="B5" s="56" t="s">
        <v>43</v>
      </c>
    </row>
    <row r="6" spans="2:3" s="21" customFormat="1" ht="52" customHeight="1" x14ac:dyDescent="0.6">
      <c r="B6" s="28" t="s">
        <v>44</v>
      </c>
    </row>
    <row r="7" spans="2:3" ht="14.5" x14ac:dyDescent="0.35">
      <c r="B7" s="28"/>
    </row>
    <row r="8" spans="2:3" ht="14.5" x14ac:dyDescent="0.35">
      <c r="B8" s="56" t="s">
        <v>45</v>
      </c>
    </row>
    <row r="9" spans="2:3" s="21" customFormat="1" ht="50" customHeight="1" x14ac:dyDescent="0.6">
      <c r="B9" s="29" t="s">
        <v>46</v>
      </c>
    </row>
    <row r="10" spans="2:3" ht="14.5" x14ac:dyDescent="0.35">
      <c r="B10" s="28"/>
    </row>
    <row r="11" spans="2:3" ht="14.5" x14ac:dyDescent="0.35">
      <c r="B11" s="57" t="s">
        <v>47</v>
      </c>
    </row>
    <row r="12" spans="2:3" ht="14.5" x14ac:dyDescent="0.35">
      <c r="B12"/>
    </row>
    <row r="13" spans="2:3" ht="14.5" x14ac:dyDescent="0.35">
      <c r="B13"/>
    </row>
    <row r="14" spans="2:3" ht="14.5" x14ac:dyDescent="0.35">
      <c r="B14"/>
    </row>
    <row r="15" spans="2:3" s="21" customFormat="1" ht="26" x14ac:dyDescent="0.6">
      <c r="B15"/>
    </row>
    <row r="16" spans="2:3" ht="14.5" x14ac:dyDescent="0.35">
      <c r="B16"/>
    </row>
    <row r="17" spans="2:2" ht="14.5" x14ac:dyDescent="0.35">
      <c r="B17"/>
    </row>
    <row r="18" spans="2:2" ht="14.5" x14ac:dyDescent="0.35">
      <c r="B18"/>
    </row>
    <row r="19" spans="2:2" s="21" customFormat="1" ht="26" x14ac:dyDescent="0.6">
      <c r="B19"/>
    </row>
    <row r="20" spans="2:2" ht="14.5" x14ac:dyDescent="0.35">
      <c r="B20"/>
    </row>
    <row r="21" spans="2:2" ht="14.5" x14ac:dyDescent="0.35">
      <c r="B21"/>
    </row>
    <row r="22" spans="2:2" ht="14.5" x14ac:dyDescent="0.35">
      <c r="B22"/>
    </row>
  </sheetData>
  <pageMargins left="0.5" right="0.5" top="0.5" bottom="0.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ProjectSchedule</vt:lpstr>
      <vt:lpstr>About</vt:lpstr>
      <vt:lpstr>ProjectSchedule!Print_Area</vt:lpstr>
      <vt:lpstr>ProjectSchedule!Print_Titles</vt:lpstr>
      <vt:lpstr>ProjectSchedule!task_end</vt:lpstr>
      <vt:lpstr>ProjectSchedule!task_progress</vt:lpstr>
      <vt:lpstr>ProjectSchedule!task_start</vt:lpstr>
      <vt:lpstr>ProjectSchedule!today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Simple Gantt Chart</dc:title>
  <dc:creator>Vertex42.com</dc:creator>
  <dc:description>© 2018-2019 Vertex42 LLC. All Rights Reserved.</dc:description>
  <cp:lastModifiedBy>Abhishek Batra</cp:lastModifiedBy>
  <cp:lastPrinted>2026-09-11T18:54:17Z</cp:lastPrinted>
  <dcterms:created xsi:type="dcterms:W3CDTF">2017-01-09T18:01:51Z</dcterms:created>
  <dcterms:modified xsi:type="dcterms:W3CDTF">2026-09-13T17:16:40Z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https://www.vertex42.com/</vt:lpwstr>
  </property>
  <property fmtid="{D5CDD505-2E9C-101B-9397-08002B2CF9AE}" pid="3" name="Copyright">
    <vt:lpwstr>© 2019 Vertex42 LLC</vt:lpwstr>
  </property>
  <property fmtid="{D5CDD505-2E9C-101B-9397-08002B2CF9AE}" pid="4" name="Version">
    <vt:lpwstr>1.0.1</vt:lpwstr>
  </property>
</Properties>
</file>